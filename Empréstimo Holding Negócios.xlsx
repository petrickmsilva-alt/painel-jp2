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c\Documents\HOLDING NEGÓCIOS - JP2 Businnes\Empréstimos\"/>
    </mc:Choice>
  </mc:AlternateContent>
  <xr:revisionPtr revIDLastSave="0" documentId="13_ncr:1_{75BCC744-F4D4-4856-8652-2123026059DB}" xr6:coauthVersionLast="47" xr6:coauthVersionMax="47" xr10:uidLastSave="{00000000-0000-0000-0000-000000000000}"/>
  <bookViews>
    <workbookView xWindow="-108" yWindow="-108" windowWidth="23256" windowHeight="13176" tabRatio="894" firstSheet="1" activeTab="1" xr2:uid="{502FDF19-FF09-4F02-B5F3-82834A2DBD60}"/>
  </bookViews>
  <sheets>
    <sheet name="RESUMO GERAL" sheetId="7" r:id="rId1"/>
    <sheet name="EMPRÉSTIMO PESSOAL JJEFFERSON" sheetId="1" r:id="rId2"/>
    <sheet name="EMPRÉSTIMO PESSOAL PETRICK" sheetId="5" r:id="rId3"/>
    <sheet name="EMPRÉSTIMO PESSOAL PEIXOTO" sheetId="6" r:id="rId4"/>
    <sheet name="EMPRÉSTIMO BROBOND" sheetId="2" r:id="rId5"/>
    <sheet name="EMPRÉSTIMO EXPOFEIRASCO" sheetId="8" r:id="rId6"/>
    <sheet name="EMPRÉSTIMO INSTITUTO" sheetId="10" r:id="rId7"/>
    <sheet name="Planilha1" sheetId="9" r:id="rId8"/>
  </sheets>
  <definedNames>
    <definedName name="_xlnm._FilterDatabase" localSheetId="4" hidden="1">'EMPRÉSTIMO BROBOND'!$A$3:$E$11</definedName>
    <definedName name="_xlnm._FilterDatabase" localSheetId="1" hidden="1">'EMPRÉSTIMO PESSOAL JJEFFERSON'!$I$2:$R$30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6" i="1" l="1"/>
  <c r="O47" i="1" s="1"/>
  <c r="K46" i="1"/>
  <c r="M46" i="1" s="1"/>
  <c r="K29" i="1"/>
  <c r="M29" i="1" s="1"/>
  <c r="N29" i="1" s="1"/>
  <c r="K28" i="1"/>
  <c r="M28" i="1" s="1"/>
  <c r="N28" i="1" s="1"/>
  <c r="K27" i="1"/>
  <c r="M27" i="1" s="1"/>
  <c r="N27" i="1" s="1"/>
  <c r="K26" i="1"/>
  <c r="M26" i="1" s="1"/>
  <c r="N26" i="1" s="1"/>
  <c r="K25" i="1"/>
  <c r="M25" i="1" s="1"/>
  <c r="N25" i="1" s="1"/>
  <c r="G42" i="10"/>
  <c r="J38" i="10"/>
  <c r="L38" i="10" s="1"/>
  <c r="M38" i="10" s="1"/>
  <c r="J39" i="10" s="1"/>
  <c r="L39" i="10" s="1"/>
  <c r="M39" i="10" s="1"/>
  <c r="J40" i="10" s="1"/>
  <c r="L40" i="10" s="1"/>
  <c r="M40" i="10" s="1"/>
  <c r="J41" i="10" s="1"/>
  <c r="L41" i="10" s="1"/>
  <c r="M41" i="10" s="1"/>
  <c r="M42" i="10" s="1"/>
  <c r="G34" i="10"/>
  <c r="J29" i="10"/>
  <c r="L29" i="10" s="1"/>
  <c r="M29" i="10" s="1"/>
  <c r="J30" i="10" s="1"/>
  <c r="L30" i="10" s="1"/>
  <c r="M30" i="10" s="1"/>
  <c r="N18" i="10"/>
  <c r="N19" i="10" s="1"/>
  <c r="L18" i="10"/>
  <c r="M18" i="10" s="1"/>
  <c r="J18" i="10"/>
  <c r="B17" i="10"/>
  <c r="N12" i="10"/>
  <c r="N13" i="10" s="1"/>
  <c r="J11" i="10"/>
  <c r="L11" i="10" s="1"/>
  <c r="M11" i="10" s="1"/>
  <c r="J12" i="10" s="1"/>
  <c r="L12" i="10" s="1"/>
  <c r="M12" i="10" s="1"/>
  <c r="J13" i="10" s="1"/>
  <c r="L13" i="10" s="1"/>
  <c r="B10" i="10"/>
  <c r="N3" i="10"/>
  <c r="J3" i="10"/>
  <c r="L3" i="10" s="1"/>
  <c r="B77" i="1"/>
  <c r="O30" i="1"/>
  <c r="P30" i="1"/>
  <c r="W10" i="1"/>
  <c r="B63" i="1"/>
  <c r="B62" i="1"/>
  <c r="B61" i="1"/>
  <c r="F32" i="1"/>
  <c r="F31" i="1"/>
  <c r="F30" i="1"/>
  <c r="G79" i="2"/>
  <c r="J71" i="2"/>
  <c r="L71" i="2" s="1"/>
  <c r="M71" i="2" s="1"/>
  <c r="J72" i="2" s="1"/>
  <c r="L72" i="2" s="1"/>
  <c r="K72" i="2"/>
  <c r="K73" i="2" s="1"/>
  <c r="K74" i="2" s="1"/>
  <c r="K75" i="2" s="1"/>
  <c r="N72" i="2"/>
  <c r="N73" i="2" s="1"/>
  <c r="N50" i="2"/>
  <c r="N51" i="2" s="1"/>
  <c r="N52" i="2" s="1"/>
  <c r="N53" i="2" s="1"/>
  <c r="M15" i="8"/>
  <c r="J18" i="8"/>
  <c r="L18" i="8" s="1"/>
  <c r="N18" i="8"/>
  <c r="N19" i="8"/>
  <c r="N20" i="8" s="1"/>
  <c r="N21" i="8" s="1"/>
  <c r="N22" i="8" s="1"/>
  <c r="N23" i="8" s="1"/>
  <c r="N24" i="8" s="1"/>
  <c r="N25" i="8" s="1"/>
  <c r="J29" i="8"/>
  <c r="L29" i="8" s="1"/>
  <c r="M29" i="8" s="1"/>
  <c r="J30" i="8" s="1"/>
  <c r="L30" i="8" s="1"/>
  <c r="M30" i="8" s="1"/>
  <c r="G34" i="8"/>
  <c r="J38" i="8"/>
  <c r="L38" i="8" s="1"/>
  <c r="M38" i="8" s="1"/>
  <c r="J39" i="8" s="1"/>
  <c r="L39" i="8" s="1"/>
  <c r="M39" i="8" s="1"/>
  <c r="J40" i="8" s="1"/>
  <c r="L40" i="8" s="1"/>
  <c r="M40" i="8" s="1"/>
  <c r="J41" i="8" s="1"/>
  <c r="L41" i="8" s="1"/>
  <c r="M41" i="8" s="1"/>
  <c r="M42" i="8" s="1"/>
  <c r="G42" i="8"/>
  <c r="N12" i="8"/>
  <c r="J11" i="8"/>
  <c r="L11" i="8" s="1"/>
  <c r="M11" i="8" s="1"/>
  <c r="B10" i="8"/>
  <c r="N3" i="8"/>
  <c r="N4" i="8" s="1"/>
  <c r="J3" i="8"/>
  <c r="L3" i="8" s="1"/>
  <c r="H103" i="1"/>
  <c r="O97" i="1"/>
  <c r="O98" i="1" s="1"/>
  <c r="L97" i="1"/>
  <c r="L98" i="1" s="1"/>
  <c r="L99" i="1" s="1"/>
  <c r="B10" i="1"/>
  <c r="K96" i="1" s="1"/>
  <c r="G68" i="2"/>
  <c r="J61" i="2"/>
  <c r="F8" i="7"/>
  <c r="F7" i="7"/>
  <c r="F6" i="7"/>
  <c r="F9" i="7" s="1"/>
  <c r="E8" i="7"/>
  <c r="E7" i="7"/>
  <c r="E6" i="7"/>
  <c r="D7" i="7"/>
  <c r="D6" i="7"/>
  <c r="C8" i="7"/>
  <c r="C6" i="7"/>
  <c r="N35" i="2"/>
  <c r="N36" i="2" s="1"/>
  <c r="N37" i="2" s="1"/>
  <c r="N38" i="2" s="1"/>
  <c r="N39" i="2" s="1"/>
  <c r="N40" i="2" s="1"/>
  <c r="N41" i="2" s="1"/>
  <c r="N42" i="2" s="1"/>
  <c r="N3" i="2"/>
  <c r="N4" i="2" s="1"/>
  <c r="N5" i="2" s="1"/>
  <c r="N6" i="2" s="1"/>
  <c r="N7" i="2" s="1"/>
  <c r="N8" i="2" s="1"/>
  <c r="N9" i="2" s="1"/>
  <c r="N10" i="2" s="1"/>
  <c r="N11" i="2" s="1"/>
  <c r="N12" i="2" s="1"/>
  <c r="B8" i="6"/>
  <c r="B9" i="5"/>
  <c r="O82" i="1"/>
  <c r="O83" i="1" s="1"/>
  <c r="O84" i="1" s="1"/>
  <c r="K27" i="5"/>
  <c r="K28" i="5" s="1"/>
  <c r="K29" i="5" s="1"/>
  <c r="K30" i="5" s="1"/>
  <c r="K38" i="5"/>
  <c r="K39" i="5" s="1"/>
  <c r="K40" i="5" s="1"/>
  <c r="K41" i="5" s="1"/>
  <c r="J37" i="5"/>
  <c r="N38" i="5"/>
  <c r="N39" i="5" s="1"/>
  <c r="N26" i="6"/>
  <c r="N27" i="6" s="1"/>
  <c r="J25" i="6"/>
  <c r="L25" i="6" s="1"/>
  <c r="M25" i="6" s="1"/>
  <c r="J26" i="6" s="1"/>
  <c r="L26" i="6" s="1"/>
  <c r="G21" i="6"/>
  <c r="A13" i="6"/>
  <c r="G33" i="6" s="1"/>
  <c r="A12" i="6"/>
  <c r="N4" i="6"/>
  <c r="N5" i="6" s="1"/>
  <c r="J3" i="6"/>
  <c r="L3" i="6" s="1"/>
  <c r="M3" i="6" s="1"/>
  <c r="N4" i="5"/>
  <c r="N5" i="5" s="1"/>
  <c r="N6" i="5" s="1"/>
  <c r="N7" i="5" s="1"/>
  <c r="N8" i="5" s="1"/>
  <c r="N9" i="5" s="1"/>
  <c r="N10" i="5" s="1"/>
  <c r="N11" i="5" s="1"/>
  <c r="N12" i="5" s="1"/>
  <c r="N13" i="5" s="1"/>
  <c r="N14" i="5" s="1"/>
  <c r="N15" i="5" s="1"/>
  <c r="N16" i="5" s="1"/>
  <c r="N17" i="5" s="1"/>
  <c r="J26" i="5"/>
  <c r="L26" i="5" s="1"/>
  <c r="M26" i="5" s="1"/>
  <c r="J27" i="5" s="1"/>
  <c r="A14" i="5"/>
  <c r="G34" i="5" s="1"/>
  <c r="A13" i="5"/>
  <c r="G45" i="5" s="1"/>
  <c r="J3" i="5"/>
  <c r="L3" i="5" s="1"/>
  <c r="M3" i="5" s="1"/>
  <c r="G22" i="5"/>
  <c r="N27" i="5"/>
  <c r="N28" i="5" s="1"/>
  <c r="K81" i="1"/>
  <c r="H88" i="1"/>
  <c r="J49" i="2"/>
  <c r="L49" i="2" s="1"/>
  <c r="M49" i="2" s="1"/>
  <c r="J50" i="2" s="1"/>
  <c r="L50" i="2" s="1"/>
  <c r="M50" i="2" s="1"/>
  <c r="G57" i="2"/>
  <c r="O63" i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35" i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N21" i="2"/>
  <c r="N22" i="2" s="1"/>
  <c r="N23" i="2" s="1"/>
  <c r="N24" i="2" s="1"/>
  <c r="N25" i="2" s="1"/>
  <c r="N26" i="2" s="1"/>
  <c r="N27" i="2" s="1"/>
  <c r="N28" i="2" s="1"/>
  <c r="B6" i="2"/>
  <c r="C7" i="7" s="1"/>
  <c r="O48" i="1" l="1"/>
  <c r="N46" i="1"/>
  <c r="K47" i="1" s="1"/>
  <c r="M47" i="1" s="1"/>
  <c r="N47" i="1" s="1"/>
  <c r="K48" i="1" s="1"/>
  <c r="M48" i="1" s="1"/>
  <c r="J31" i="10"/>
  <c r="L31" i="10" s="1"/>
  <c r="M31" i="10" s="1"/>
  <c r="J32" i="10" s="1"/>
  <c r="L32" i="10" s="1"/>
  <c r="M32" i="10" s="1"/>
  <c r="J33" i="10"/>
  <c r="L33" i="10" s="1"/>
  <c r="M33" i="10" s="1"/>
  <c r="M34" i="10" s="1"/>
  <c r="B18" i="10" s="1"/>
  <c r="J19" i="10"/>
  <c r="L19" i="10" s="1"/>
  <c r="M19" i="10" s="1"/>
  <c r="M3" i="10"/>
  <c r="N14" i="10"/>
  <c r="M13" i="10"/>
  <c r="J14" i="10" s="1"/>
  <c r="L14" i="10" s="1"/>
  <c r="N20" i="10"/>
  <c r="N4" i="10"/>
  <c r="B65" i="1"/>
  <c r="F33" i="1"/>
  <c r="B2" i="1"/>
  <c r="D8" i="7"/>
  <c r="D9" i="7" s="1"/>
  <c r="N74" i="2"/>
  <c r="M72" i="2"/>
  <c r="J73" i="2" s="1"/>
  <c r="L73" i="2" s="1"/>
  <c r="M73" i="2" s="1"/>
  <c r="E9" i="7"/>
  <c r="B12" i="1"/>
  <c r="B11" i="2"/>
  <c r="M18" i="8"/>
  <c r="J19" i="8" s="1"/>
  <c r="L19" i="8" s="1"/>
  <c r="M19" i="8" s="1"/>
  <c r="J20" i="8" s="1"/>
  <c r="L20" i="8" s="1"/>
  <c r="M20" i="8" s="1"/>
  <c r="J21" i="8" s="1"/>
  <c r="L21" i="8" s="1"/>
  <c r="M21" i="8" s="1"/>
  <c r="J22" i="8" s="1"/>
  <c r="L22" i="8" s="1"/>
  <c r="M22" i="8" s="1"/>
  <c r="J23" i="8" s="1"/>
  <c r="L23" i="8" s="1"/>
  <c r="M23" i="8" s="1"/>
  <c r="J24" i="8" s="1"/>
  <c r="L24" i="8" s="1"/>
  <c r="M24" i="8" s="1"/>
  <c r="J25" i="8" s="1"/>
  <c r="L25" i="8" s="1"/>
  <c r="M25" i="8" s="1"/>
  <c r="J33" i="8"/>
  <c r="L33" i="8" s="1"/>
  <c r="M33" i="8" s="1"/>
  <c r="M34" i="8" s="1"/>
  <c r="J31" i="8"/>
  <c r="L31" i="8" s="1"/>
  <c r="M31" i="8" s="1"/>
  <c r="J32" i="8" s="1"/>
  <c r="L32" i="8" s="1"/>
  <c r="M32" i="8" s="1"/>
  <c r="M3" i="8"/>
  <c r="J4" i="8" s="1"/>
  <c r="L4" i="8" s="1"/>
  <c r="M4" i="8" s="1"/>
  <c r="N5" i="8"/>
  <c r="B18" i="8"/>
  <c r="J12" i="8"/>
  <c r="L12" i="8" s="1"/>
  <c r="M12" i="8" s="1"/>
  <c r="N13" i="8"/>
  <c r="O99" i="1"/>
  <c r="C9" i="7"/>
  <c r="G6" i="7"/>
  <c r="G7" i="7"/>
  <c r="L27" i="5"/>
  <c r="M27" i="5" s="1"/>
  <c r="J28" i="5" s="1"/>
  <c r="L28" i="5" s="1"/>
  <c r="M28" i="5" s="1"/>
  <c r="N40" i="5"/>
  <c r="J35" i="2"/>
  <c r="L35" i="2" s="1"/>
  <c r="M35" i="2" s="1"/>
  <c r="J36" i="2" s="1"/>
  <c r="L36" i="2" s="1"/>
  <c r="J4" i="6"/>
  <c r="L4" i="6" s="1"/>
  <c r="M4" i="6" s="1"/>
  <c r="J5" i="6" s="1"/>
  <c r="L5" i="6" s="1"/>
  <c r="M5" i="6" s="1"/>
  <c r="J6" i="6" s="1"/>
  <c r="L6" i="6" s="1"/>
  <c r="N6" i="6"/>
  <c r="N28" i="6"/>
  <c r="M26" i="6"/>
  <c r="J27" i="6" s="1"/>
  <c r="L27" i="6" s="1"/>
  <c r="M27" i="6" s="1"/>
  <c r="N29" i="5"/>
  <c r="N30" i="5" s="1"/>
  <c r="J4" i="5"/>
  <c r="L4" i="5" s="1"/>
  <c r="M4" i="5" s="1"/>
  <c r="J5" i="5" s="1"/>
  <c r="L5" i="5" s="1"/>
  <c r="M5" i="5" s="1"/>
  <c r="J6" i="5" s="1"/>
  <c r="L6" i="5" s="1"/>
  <c r="M6" i="5" s="1"/>
  <c r="J7" i="5" s="1"/>
  <c r="L7" i="5" s="1"/>
  <c r="M7" i="5" s="1"/>
  <c r="J8" i="5" s="1"/>
  <c r="L8" i="5" s="1"/>
  <c r="M8" i="5" s="1"/>
  <c r="J9" i="5" s="1"/>
  <c r="L9" i="5" s="1"/>
  <c r="M9" i="5" s="1"/>
  <c r="J10" i="5" s="1"/>
  <c r="L10" i="5" s="1"/>
  <c r="M10" i="5" s="1"/>
  <c r="J11" i="5" s="1"/>
  <c r="L11" i="5" s="1"/>
  <c r="J53" i="2"/>
  <c r="L53" i="2" s="1"/>
  <c r="M53" i="2" s="1"/>
  <c r="M57" i="2" s="1"/>
  <c r="J51" i="2"/>
  <c r="L51" i="2" s="1"/>
  <c r="M51" i="2" s="1"/>
  <c r="J52" i="2" s="1"/>
  <c r="L52" i="2" s="1"/>
  <c r="M52" i="2" s="1"/>
  <c r="K62" i="1"/>
  <c r="M62" i="1" s="1"/>
  <c r="N62" i="1" s="1"/>
  <c r="K63" i="1" s="1"/>
  <c r="M63" i="1" s="1"/>
  <c r="N63" i="1" s="1"/>
  <c r="K64" i="1" s="1"/>
  <c r="M64" i="1" s="1"/>
  <c r="N64" i="1" s="1"/>
  <c r="K65" i="1" s="1"/>
  <c r="M65" i="1" s="1"/>
  <c r="N65" i="1" s="1"/>
  <c r="K66" i="1" s="1"/>
  <c r="M66" i="1" s="1"/>
  <c r="N66" i="1" s="1"/>
  <c r="K67" i="1" s="1"/>
  <c r="M67" i="1" s="1"/>
  <c r="N67" i="1" s="1"/>
  <c r="K68" i="1" s="1"/>
  <c r="M68" i="1" s="1"/>
  <c r="N68" i="1" s="1"/>
  <c r="K69" i="1" s="1"/>
  <c r="M69" i="1" s="1"/>
  <c r="N69" i="1" s="1"/>
  <c r="K70" i="1" s="1"/>
  <c r="M70" i="1" s="1"/>
  <c r="N70" i="1" s="1"/>
  <c r="K71" i="1" s="1"/>
  <c r="M71" i="1" s="1"/>
  <c r="N71" i="1" s="1"/>
  <c r="K72" i="1" s="1"/>
  <c r="M72" i="1" s="1"/>
  <c r="N72" i="1" s="1"/>
  <c r="K73" i="1" s="1"/>
  <c r="M73" i="1" s="1"/>
  <c r="N73" i="1" s="1"/>
  <c r="G32" i="2"/>
  <c r="G16" i="2"/>
  <c r="H77" i="1"/>
  <c r="H58" i="1"/>
  <c r="H30" i="1"/>
  <c r="K34" i="1"/>
  <c r="M34" i="1" s="1"/>
  <c r="N34" i="1" s="1"/>
  <c r="K35" i="1" s="1"/>
  <c r="M35" i="1" s="1"/>
  <c r="N35" i="1" s="1"/>
  <c r="K36" i="1" s="1"/>
  <c r="M36" i="1" s="1"/>
  <c r="N36" i="1" s="1"/>
  <c r="K37" i="1" s="1"/>
  <c r="M37" i="1" s="1"/>
  <c r="N37" i="1" s="1"/>
  <c r="K38" i="1" s="1"/>
  <c r="M38" i="1" s="1"/>
  <c r="N38" i="1" s="1"/>
  <c r="K39" i="1" s="1"/>
  <c r="M39" i="1" s="1"/>
  <c r="N39" i="1" s="1"/>
  <c r="K40" i="1" s="1"/>
  <c r="M40" i="1" s="1"/>
  <c r="N40" i="1" s="1"/>
  <c r="K41" i="1" s="1"/>
  <c r="M41" i="1" s="1"/>
  <c r="N41" i="1" s="1"/>
  <c r="K42" i="1" s="1"/>
  <c r="M42" i="1" s="1"/>
  <c r="N42" i="1" s="1"/>
  <c r="K43" i="1" s="1"/>
  <c r="M43" i="1" s="1"/>
  <c r="N43" i="1" s="1"/>
  <c r="K44" i="1" s="1"/>
  <c r="M44" i="1" s="1"/>
  <c r="N44" i="1" s="1"/>
  <c r="K45" i="1" s="1"/>
  <c r="M45" i="1" s="1"/>
  <c r="N45" i="1" s="1"/>
  <c r="K3" i="1"/>
  <c r="M3" i="1" s="1"/>
  <c r="N3" i="1" s="1"/>
  <c r="J20" i="2"/>
  <c r="L20" i="2" s="1"/>
  <c r="M20" i="2" s="1"/>
  <c r="J21" i="2" s="1"/>
  <c r="L21" i="2" s="1"/>
  <c r="M21" i="2" s="1"/>
  <c r="J22" i="2" s="1"/>
  <c r="L22" i="2" s="1"/>
  <c r="M22" i="2" s="1"/>
  <c r="J23" i="2" s="1"/>
  <c r="L23" i="2" s="1"/>
  <c r="M23" i="2" s="1"/>
  <c r="J24" i="2" s="1"/>
  <c r="L24" i="2" s="1"/>
  <c r="M24" i="2" s="1"/>
  <c r="J25" i="2" s="1"/>
  <c r="L25" i="2" s="1"/>
  <c r="M25" i="2" s="1"/>
  <c r="J26" i="2" s="1"/>
  <c r="L26" i="2" s="1"/>
  <c r="M26" i="2" s="1"/>
  <c r="J27" i="2" s="1"/>
  <c r="L27" i="2" s="1"/>
  <c r="M27" i="2" s="1"/>
  <c r="J28" i="2" s="1"/>
  <c r="L28" i="2" s="1"/>
  <c r="M28" i="2" s="1"/>
  <c r="J3" i="2"/>
  <c r="L3" i="2" s="1"/>
  <c r="M3" i="2" s="1"/>
  <c r="J4" i="2" s="1"/>
  <c r="L4" i="2" s="1"/>
  <c r="M4" i="2" s="1"/>
  <c r="O49" i="1" l="1"/>
  <c r="N48" i="1"/>
  <c r="K49" i="1" s="1"/>
  <c r="M49" i="1" s="1"/>
  <c r="J20" i="10"/>
  <c r="L20" i="10" s="1"/>
  <c r="N21" i="10"/>
  <c r="M20" i="10"/>
  <c r="J21" i="10" s="1"/>
  <c r="L21" i="10" s="1"/>
  <c r="N5" i="10"/>
  <c r="M14" i="10"/>
  <c r="M15" i="10" s="1"/>
  <c r="J4" i="10"/>
  <c r="L4" i="10" s="1"/>
  <c r="M4" i="10" s="1"/>
  <c r="Q3" i="1"/>
  <c r="K4" i="1" s="1"/>
  <c r="M4" i="1" s="1"/>
  <c r="N4" i="1" s="1"/>
  <c r="G8" i="7"/>
  <c r="G9" i="7" s="1"/>
  <c r="J74" i="2"/>
  <c r="L74" i="2" s="1"/>
  <c r="M74" i="2" s="1"/>
  <c r="J75" i="2" s="1"/>
  <c r="L75" i="2" s="1"/>
  <c r="N75" i="2"/>
  <c r="B27" i="2"/>
  <c r="M26" i="8"/>
  <c r="J13" i="8"/>
  <c r="L13" i="8" s="1"/>
  <c r="M13" i="8" s="1"/>
  <c r="J14" i="8" s="1"/>
  <c r="L14" i="8" s="1"/>
  <c r="J5" i="8"/>
  <c r="L5" i="8" s="1"/>
  <c r="M5" i="8" s="1"/>
  <c r="J6" i="8" s="1"/>
  <c r="L6" i="8" s="1"/>
  <c r="N14" i="8"/>
  <c r="N6" i="8"/>
  <c r="N41" i="5"/>
  <c r="J28" i="6"/>
  <c r="L28" i="6" s="1"/>
  <c r="M28" i="6" s="1"/>
  <c r="J29" i="6" s="1"/>
  <c r="L29" i="6" s="1"/>
  <c r="N7" i="6"/>
  <c r="M6" i="6"/>
  <c r="J7" i="6" s="1"/>
  <c r="L7" i="6" s="1"/>
  <c r="N29" i="6"/>
  <c r="M11" i="5"/>
  <c r="J12" i="5" s="1"/>
  <c r="L12" i="5" s="1"/>
  <c r="J29" i="5"/>
  <c r="L29" i="5" s="1"/>
  <c r="M29" i="5" s="1"/>
  <c r="J30" i="5" s="1"/>
  <c r="L30" i="5" s="1"/>
  <c r="M30" i="5" s="1"/>
  <c r="B16" i="5"/>
  <c r="M36" i="2"/>
  <c r="J37" i="2" s="1"/>
  <c r="L37" i="2" s="1"/>
  <c r="M37" i="2" s="1"/>
  <c r="J38" i="2" s="1"/>
  <c r="L38" i="2" s="1"/>
  <c r="M38" i="2" s="1"/>
  <c r="J39" i="2" s="1"/>
  <c r="L39" i="2" s="1"/>
  <c r="M39" i="2" s="1"/>
  <c r="J40" i="2" s="1"/>
  <c r="L40" i="2" s="1"/>
  <c r="M40" i="2" s="1"/>
  <c r="J41" i="2" s="1"/>
  <c r="L41" i="2" s="1"/>
  <c r="M41" i="2" s="1"/>
  <c r="J42" i="2" s="1"/>
  <c r="L42" i="2" s="1"/>
  <c r="M42" i="2" s="1"/>
  <c r="N58" i="1"/>
  <c r="B31" i="1" s="1"/>
  <c r="M32" i="2"/>
  <c r="B26" i="2" s="1"/>
  <c r="N77" i="1"/>
  <c r="J5" i="2"/>
  <c r="L5" i="2" s="1"/>
  <c r="M5" i="2" s="1"/>
  <c r="O50" i="1" l="1"/>
  <c r="N49" i="1"/>
  <c r="K50" i="1" s="1"/>
  <c r="M50" i="1" s="1"/>
  <c r="J5" i="10"/>
  <c r="L5" i="10" s="1"/>
  <c r="M5" i="10" s="1"/>
  <c r="J6" i="10" s="1"/>
  <c r="L6" i="10" s="1"/>
  <c r="N6" i="10"/>
  <c r="N22" i="10"/>
  <c r="M21" i="10"/>
  <c r="J22" i="10" s="1"/>
  <c r="L22" i="10" s="1"/>
  <c r="Q4" i="1"/>
  <c r="K5" i="1" s="1"/>
  <c r="M5" i="1" s="1"/>
  <c r="N5" i="1" s="1"/>
  <c r="Q5" i="1" s="1"/>
  <c r="K6" i="1" s="1"/>
  <c r="M6" i="1" s="1"/>
  <c r="N6" i="1" s="1"/>
  <c r="M75" i="2"/>
  <c r="M79" i="2"/>
  <c r="B28" i="2" s="1"/>
  <c r="M14" i="8"/>
  <c r="M6" i="8"/>
  <c r="N8" i="6"/>
  <c r="M7" i="6"/>
  <c r="M29" i="6"/>
  <c r="M33" i="6"/>
  <c r="B13" i="6" s="1"/>
  <c r="M12" i="5"/>
  <c r="M46" i="2"/>
  <c r="J6" i="2"/>
  <c r="L6" i="2" s="1"/>
  <c r="M6" i="2" s="1"/>
  <c r="O51" i="1" l="1"/>
  <c r="N50" i="1"/>
  <c r="K51" i="1" s="1"/>
  <c r="M51" i="1" s="1"/>
  <c r="M6" i="10"/>
  <c r="M7" i="10" s="1"/>
  <c r="N23" i="10"/>
  <c r="M22" i="10"/>
  <c r="J23" i="10" s="1"/>
  <c r="L23" i="10" s="1"/>
  <c r="Q6" i="1"/>
  <c r="K7" i="1" s="1"/>
  <c r="M7" i="1" s="1"/>
  <c r="N7" i="1" s="1"/>
  <c r="J8" i="6"/>
  <c r="L8" i="6" s="1"/>
  <c r="M8" i="6" s="1"/>
  <c r="J9" i="6" s="1"/>
  <c r="L9" i="6" s="1"/>
  <c r="N9" i="6"/>
  <c r="J13" i="5"/>
  <c r="L13" i="5" s="1"/>
  <c r="M13" i="5" s="1"/>
  <c r="J14" i="5" s="1"/>
  <c r="L14" i="5" s="1"/>
  <c r="J7" i="2"/>
  <c r="L7" i="2" s="1"/>
  <c r="M7" i="2" s="1"/>
  <c r="O52" i="1" l="1"/>
  <c r="N51" i="1"/>
  <c r="K52" i="1" s="1"/>
  <c r="M52" i="1" s="1"/>
  <c r="N24" i="10"/>
  <c r="M23" i="10"/>
  <c r="Q7" i="1"/>
  <c r="K8" i="1" s="1"/>
  <c r="M8" i="1" s="1"/>
  <c r="N8" i="1" s="1"/>
  <c r="M9" i="6"/>
  <c r="N10" i="6"/>
  <c r="M14" i="5"/>
  <c r="J8" i="2"/>
  <c r="L8" i="2" s="1"/>
  <c r="M8" i="2" s="1"/>
  <c r="O53" i="1" l="1"/>
  <c r="N52" i="1"/>
  <c r="K53" i="1" s="1"/>
  <c r="M53" i="1" s="1"/>
  <c r="J24" i="10"/>
  <c r="L24" i="10" s="1"/>
  <c r="N25" i="10"/>
  <c r="M24" i="10"/>
  <c r="J25" i="10" s="1"/>
  <c r="L25" i="10" s="1"/>
  <c r="Q8" i="1"/>
  <c r="K9" i="1" s="1"/>
  <c r="M9" i="1" s="1"/>
  <c r="N9" i="1" s="1"/>
  <c r="N11" i="6"/>
  <c r="J10" i="6"/>
  <c r="L10" i="6" s="1"/>
  <c r="M10" i="6" s="1"/>
  <c r="J15" i="5"/>
  <c r="L15" i="5" s="1"/>
  <c r="M15" i="5" s="1"/>
  <c r="J9" i="2"/>
  <c r="L9" i="2" s="1"/>
  <c r="M9" i="2" s="1"/>
  <c r="O54" i="1" l="1"/>
  <c r="N53" i="1"/>
  <c r="K54" i="1" s="1"/>
  <c r="M54" i="1" s="1"/>
  <c r="M25" i="10"/>
  <c r="M26" i="10" s="1"/>
  <c r="B16" i="10" s="1"/>
  <c r="B19" i="10" s="1"/>
  <c r="Q9" i="1"/>
  <c r="K10" i="1" s="1"/>
  <c r="M10" i="1" s="1"/>
  <c r="N10" i="1" s="1"/>
  <c r="J11" i="6"/>
  <c r="L11" i="6" s="1"/>
  <c r="M11" i="6" s="1"/>
  <c r="J12" i="6" s="1"/>
  <c r="L12" i="6" s="1"/>
  <c r="N12" i="6"/>
  <c r="J16" i="5"/>
  <c r="L16" i="5" s="1"/>
  <c r="M16" i="5" s="1"/>
  <c r="J10" i="2"/>
  <c r="L10" i="2" s="1"/>
  <c r="M10" i="2" s="1"/>
  <c r="O55" i="1" l="1"/>
  <c r="N54" i="1"/>
  <c r="K55" i="1" s="1"/>
  <c r="M55" i="1" s="1"/>
  <c r="Q10" i="1"/>
  <c r="K11" i="1" s="1"/>
  <c r="M11" i="1" s="1"/>
  <c r="N11" i="1" s="1"/>
  <c r="W11" i="1"/>
  <c r="B17" i="8"/>
  <c r="N13" i="6"/>
  <c r="M12" i="6"/>
  <c r="J13" i="6" s="1"/>
  <c r="L13" i="6" s="1"/>
  <c r="J17" i="5"/>
  <c r="L17" i="5" s="1"/>
  <c r="M17" i="5" s="1"/>
  <c r="M22" i="5"/>
  <c r="J11" i="2"/>
  <c r="L11" i="2" s="1"/>
  <c r="M11" i="2" s="1"/>
  <c r="O56" i="1" l="1"/>
  <c r="N55" i="1"/>
  <c r="K56" i="1" s="1"/>
  <c r="M56" i="1" s="1"/>
  <c r="Q11" i="1"/>
  <c r="K12" i="1" s="1"/>
  <c r="M12" i="1" s="1"/>
  <c r="N12" i="1" s="1"/>
  <c r="M7" i="8"/>
  <c r="B16" i="8" s="1"/>
  <c r="B19" i="8" s="1"/>
  <c r="M13" i="6"/>
  <c r="J14" i="6" s="1"/>
  <c r="L14" i="6" s="1"/>
  <c r="N14" i="6"/>
  <c r="J12" i="2"/>
  <c r="L12" i="2" s="1"/>
  <c r="M12" i="2" s="1"/>
  <c r="M16" i="2" s="1"/>
  <c r="M81" i="1"/>
  <c r="N81" i="1" s="1"/>
  <c r="K82" i="1" s="1"/>
  <c r="M82" i="1" s="1"/>
  <c r="N82" i="1" s="1"/>
  <c r="K83" i="1" s="1"/>
  <c r="M83" i="1" s="1"/>
  <c r="N83" i="1" s="1"/>
  <c r="O57" i="1" l="1"/>
  <c r="N56" i="1"/>
  <c r="K57" i="1" s="1"/>
  <c r="M57" i="1" s="1"/>
  <c r="Q12" i="1"/>
  <c r="K13" i="1" s="1"/>
  <c r="M13" i="1" s="1"/>
  <c r="N13" i="1" s="1"/>
  <c r="L61" i="2"/>
  <c r="M61" i="2" s="1"/>
  <c r="J62" i="2" s="1"/>
  <c r="L62" i="2" s="1"/>
  <c r="M62" i="2" s="1"/>
  <c r="M14" i="6"/>
  <c r="J15" i="6" s="1"/>
  <c r="L15" i="6" s="1"/>
  <c r="N15" i="6"/>
  <c r="M34" i="5"/>
  <c r="B14" i="5" s="1"/>
  <c r="K84" i="1"/>
  <c r="M84" i="1" s="1"/>
  <c r="N84" i="1" s="1"/>
  <c r="N88" i="1" s="1"/>
  <c r="B33" i="1" s="1"/>
  <c r="N57" i="1" l="1"/>
  <c r="Q13" i="1"/>
  <c r="K14" i="1" s="1"/>
  <c r="M14" i="1" s="1"/>
  <c r="N14" i="1" s="1"/>
  <c r="J63" i="2"/>
  <c r="L63" i="2" s="1"/>
  <c r="M63" i="2" s="1"/>
  <c r="J64" i="2" s="1"/>
  <c r="L64" i="2" s="1"/>
  <c r="M64" i="2" s="1"/>
  <c r="M68" i="2" s="1"/>
  <c r="B25" i="2" s="1"/>
  <c r="B29" i="2" s="1"/>
  <c r="M15" i="6"/>
  <c r="J16" i="6" s="1"/>
  <c r="L16" i="6" s="1"/>
  <c r="N16" i="6"/>
  <c r="B15" i="5"/>
  <c r="AA12" i="1" l="1"/>
  <c r="Q14" i="1"/>
  <c r="K15" i="1" s="1"/>
  <c r="M15" i="1" s="1"/>
  <c r="N15" i="1" s="1"/>
  <c r="Q15" i="1" s="1"/>
  <c r="K16" i="1" s="1"/>
  <c r="M16" i="1" s="1"/>
  <c r="N16" i="1" s="1"/>
  <c r="Q16" i="1" s="1"/>
  <c r="K17" i="1" s="1"/>
  <c r="M17" i="1" s="1"/>
  <c r="N17" i="1" s="1"/>
  <c r="Q17" i="1" s="1"/>
  <c r="K18" i="1" s="1"/>
  <c r="M18" i="1" s="1"/>
  <c r="N18" i="1" s="1"/>
  <c r="Q18" i="1" s="1"/>
  <c r="K19" i="1" s="1"/>
  <c r="M19" i="1" s="1"/>
  <c r="N19" i="1" s="1"/>
  <c r="Q19" i="1" s="1"/>
  <c r="K20" i="1" s="1"/>
  <c r="M20" i="1" s="1"/>
  <c r="N20" i="1" s="1"/>
  <c r="M16" i="6"/>
  <c r="N17" i="6"/>
  <c r="L37" i="5"/>
  <c r="M37" i="5" s="1"/>
  <c r="N89" i="1"/>
  <c r="N90" i="1"/>
  <c r="Q20" i="1" l="1"/>
  <c r="K21" i="1" s="1"/>
  <c r="M21" i="1" s="1"/>
  <c r="N21" i="1" s="1"/>
  <c r="Q21" i="1" s="1"/>
  <c r="K22" i="1" s="1"/>
  <c r="M22" i="1" s="1"/>
  <c r="N22" i="1" s="1"/>
  <c r="J38" i="5"/>
  <c r="L38" i="5" s="1"/>
  <c r="M38" i="5" s="1"/>
  <c r="J39" i="5" s="1"/>
  <c r="L39" i="5" s="1"/>
  <c r="M39" i="5" s="1"/>
  <c r="J17" i="6"/>
  <c r="L17" i="6" s="1"/>
  <c r="M17" i="6" s="1"/>
  <c r="M21" i="6"/>
  <c r="B12" i="6" s="1"/>
  <c r="B14" i="6" s="1"/>
  <c r="Q22" i="1" l="1"/>
  <c r="K23" i="1" s="1"/>
  <c r="M23" i="1" s="1"/>
  <c r="N23" i="1" s="1"/>
  <c r="J40" i="5"/>
  <c r="L40" i="5" s="1"/>
  <c r="M40" i="5" s="1"/>
  <c r="J41" i="5" s="1"/>
  <c r="L41" i="5" s="1"/>
  <c r="M41" i="5" s="1"/>
  <c r="Q23" i="1" l="1"/>
  <c r="K24" i="1" s="1"/>
  <c r="M24" i="1" s="1"/>
  <c r="N24" i="1" s="1"/>
  <c r="N30" i="1"/>
  <c r="M45" i="5"/>
  <c r="B13" i="5" s="1"/>
  <c r="B17" i="5" s="1"/>
  <c r="M96" i="1"/>
  <c r="N96" i="1" s="1"/>
  <c r="K97" i="1" s="1"/>
  <c r="M97" i="1" s="1"/>
  <c r="N97" i="1" s="1"/>
  <c r="K98" i="1" s="1"/>
  <c r="M98" i="1" s="1"/>
  <c r="N98" i="1" s="1"/>
  <c r="K99" i="1" s="1"/>
  <c r="M99" i="1" s="1"/>
  <c r="N99" i="1" s="1"/>
  <c r="N103" i="1" s="1"/>
  <c r="B32" i="1" s="1"/>
  <c r="Z12" i="1" l="1"/>
  <c r="B30" i="1"/>
  <c r="B34" i="1" s="1"/>
</calcChain>
</file>

<file path=xl/sharedStrings.xml><?xml version="1.0" encoding="utf-8"?>
<sst xmlns="http://schemas.openxmlformats.org/spreadsheetml/2006/main" count="631" uniqueCount="111">
  <si>
    <t>AMIGA MAMAE</t>
  </si>
  <si>
    <t>QUEM</t>
  </si>
  <si>
    <t>VALOR</t>
  </si>
  <si>
    <t>TIO ELSON</t>
  </si>
  <si>
    <t>Descrição</t>
  </si>
  <si>
    <t>Pagamento com juros de 5%</t>
  </si>
  <si>
    <t>Pagamento com juros de 4%</t>
  </si>
  <si>
    <t>FLÁVIA</t>
  </si>
  <si>
    <t>LU MÃE PETRICK</t>
  </si>
  <si>
    <t>FLAVIA</t>
  </si>
  <si>
    <t>Valor Inicial</t>
  </si>
  <si>
    <t>Mês</t>
  </si>
  <si>
    <t>Juros</t>
  </si>
  <si>
    <t>Valor Final</t>
  </si>
  <si>
    <t>Dt Vlor Final</t>
  </si>
  <si>
    <t>Pagamento com juros de 2%</t>
  </si>
  <si>
    <t>Nome mês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</si>
  <si>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</si>
  <si>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</si>
  <si>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</si>
  <si>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</si>
  <si>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</si>
  <si>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</si>
  <si>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</si>
  <si>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</si>
  <si>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</si>
  <si>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</si>
  <si>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Vlr Juros</t>
  </si>
  <si>
    <t>Janeiro</t>
  </si>
  <si>
    <t>Fevereiro</t>
  </si>
  <si>
    <t>CREDOR</t>
  </si>
  <si>
    <t>TOTAL</t>
  </si>
  <si>
    <t>VALOR Á PAGAR</t>
  </si>
  <si>
    <t>TT EMPRÉSTIMO BROBOND</t>
  </si>
  <si>
    <t>TT  EMPRÉSTIMO PESSOAL</t>
  </si>
  <si>
    <t>Data Prev. Fech.</t>
  </si>
  <si>
    <t>Pagamento com juros de 3%</t>
  </si>
  <si>
    <t>TOTAL EMPRÉSTIMO</t>
  </si>
  <si>
    <t>PAGAMENTO COM JUROS</t>
  </si>
  <si>
    <t>PETRICK (Investidor) Mãe</t>
  </si>
  <si>
    <t>PETRICK E PEIXOTO</t>
  </si>
  <si>
    <t>Peixoto</t>
  </si>
  <si>
    <t>Petrick</t>
  </si>
  <si>
    <t>Pagamento com juros de 1%</t>
  </si>
  <si>
    <t>PEIXOTO (EVENTOS)</t>
  </si>
  <si>
    <t>PEIXOTO (MEDICAMENTOS)</t>
  </si>
  <si>
    <t>Brobond</t>
  </si>
  <si>
    <t>Pagamento sem juros 1,5%</t>
  </si>
  <si>
    <t>Juros de 1,5% valor 50% Peixto 50$ Petrick</t>
  </si>
  <si>
    <t>Nutrallis</t>
  </si>
  <si>
    <t>PEIXOTO JEFF (MEDICAMENTE)</t>
  </si>
  <si>
    <t>NUTRALLIS 1ª Formulas</t>
  </si>
  <si>
    <t>Expo Feiras</t>
  </si>
  <si>
    <t>Nutrallis 1ª Formulas</t>
  </si>
  <si>
    <t>JEFFERSON</t>
  </si>
  <si>
    <t>FLÁVIA ROSA PESSOAL</t>
  </si>
  <si>
    <t>PETRICK PESSOAL</t>
  </si>
  <si>
    <t>PETRICK (MÃE)</t>
  </si>
  <si>
    <t>PETRICK JEFF (MÃE)</t>
  </si>
  <si>
    <t>Mês Emp.</t>
  </si>
  <si>
    <t>Detatlhes</t>
  </si>
  <si>
    <t>Jefferson</t>
  </si>
  <si>
    <t xml:space="preserve">Petrick </t>
  </si>
  <si>
    <t>Total</t>
  </si>
  <si>
    <t>Brobond Capital</t>
  </si>
  <si>
    <t>Brobond capital</t>
  </si>
  <si>
    <t>Empresas/ Investidores</t>
  </si>
  <si>
    <t>RACIONAL DE INVESTIMENTO DA HOLDING EMPRESAS</t>
  </si>
  <si>
    <t>RACIONAL EMPRESTIMOS E INVESTIMENTO</t>
  </si>
  <si>
    <t>Juros de 2%</t>
  </si>
  <si>
    <t>Cartão Flávia</t>
  </si>
  <si>
    <t>FLAVIA CARTÃO</t>
  </si>
  <si>
    <t>EXPOFEIRAS AGENCIA</t>
  </si>
  <si>
    <t>CARTÃO FLAVIA</t>
  </si>
  <si>
    <t>Pago</t>
  </si>
  <si>
    <t>EMPRÉSTIMO MÃE PETRICK</t>
  </si>
  <si>
    <t>Mãe Petrick</t>
  </si>
  <si>
    <t>PETRICK BROBOND</t>
  </si>
  <si>
    <t>Pagamento Contas Fev/2026</t>
  </si>
  <si>
    <t>Contas Brobond</t>
  </si>
  <si>
    <t>Principal</t>
  </si>
  <si>
    <t>EVENTOS</t>
  </si>
  <si>
    <t>BROBOND</t>
  </si>
  <si>
    <t>RACIONAL DESTIVO VALOR FINANCEIRO</t>
  </si>
  <si>
    <t>CARTÃO PARA AGENCIA</t>
  </si>
  <si>
    <t>TOTAL GERAL DEVIDO</t>
  </si>
  <si>
    <t>Valor +Jurso</t>
  </si>
  <si>
    <t>Dias Juros</t>
  </si>
  <si>
    <t>Pgto Realizado</t>
  </si>
  <si>
    <t>Saldo Devedor</t>
  </si>
  <si>
    <t>Observação</t>
  </si>
  <si>
    <t>Dia  06/02 R$ 800,00 e 20/02 R$ 850,00</t>
  </si>
  <si>
    <t>Dia 06/03 R$ 150,00</t>
  </si>
  <si>
    <t>Dia 03/11 R$ 1.000,00 e 14/11 R$ 500,00</t>
  </si>
  <si>
    <t>DATA EMPRÉSTIMO</t>
  </si>
  <si>
    <t>Flavia e Daniel</t>
  </si>
  <si>
    <t>Daniel Canhete</t>
  </si>
  <si>
    <t>Flavia Rosa</t>
  </si>
  <si>
    <t>Emprestimos flávia</t>
  </si>
  <si>
    <t>Peixoto Gado</t>
  </si>
  <si>
    <t>Pagamento com juros de @ do dia endorda diária até a data</t>
  </si>
  <si>
    <t>20 Garrotes</t>
  </si>
  <si>
    <t>Pai carro</t>
  </si>
  <si>
    <t>Petrick Pessoal</t>
  </si>
  <si>
    <t>carro 44k mae petrick 13 mil reais</t>
  </si>
  <si>
    <t>PETRICK MARTINS</t>
  </si>
  <si>
    <t>Pagamento contas Brobond</t>
  </si>
  <si>
    <t>Brobnd</t>
  </si>
  <si>
    <t>Pagamentos Contas Brobond</t>
  </si>
  <si>
    <t>REFEIÇÕES MERCADO</t>
  </si>
  <si>
    <t>Maio Tres meses +dois meses atrás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</si>
</sst>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0.0%"/>
    <numFmt numFmtId="165" formatCode="General\ &quot;dias&quot;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0"/>
      <name val="Calibri"/>
      <family val="2"/>
      <scheme val="minor"/>
    </font>
    <font>
      <u/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8" fontId="0" fillId="0" borderId="1" xfId="0" applyNumberFormat="1" applyBorder="1"/>
    <xf numFmtId="0" fontId="0" fillId="0" borderId="0" xfId="0" applyAlignment="1">
      <alignment horizontal="center"/>
    </xf>
    <xf numFmtId="8" fontId="0" fillId="0" borderId="0" xfId="0" applyNumberFormat="1"/>
    <xf numFmtId="9" fontId="0" fillId="0" borderId="0" xfId="0" applyNumberFormat="1"/>
    <xf numFmtId="14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Continuous"/>
    </xf>
    <xf numFmtId="8" fontId="1" fillId="2" borderId="0" xfId="0" applyNumberFormat="1" applyFont="1" applyFill="1"/>
    <xf numFmtId="4" fontId="0" fillId="0" borderId="1" xfId="0" applyNumberFormat="1" applyBorder="1"/>
    <xf numFmtId="0" fontId="1" fillId="2" borderId="1" xfId="0" applyFont="1" applyFill="1" applyBorder="1"/>
    <xf numFmtId="4" fontId="1" fillId="2" borderId="1" xfId="0" applyNumberFormat="1" applyFont="1" applyFill="1" applyBorder="1"/>
    <xf numFmtId="0" fontId="1" fillId="0" borderId="0" xfId="0" applyFont="1"/>
    <xf numFmtId="8" fontId="1" fillId="2" borderId="1" xfId="0" applyNumberFormat="1" applyFont="1" applyFill="1" applyBorder="1"/>
    <xf numFmtId="14" fontId="1" fillId="2" borderId="1" xfId="0" applyNumberFormat="1" applyFont="1" applyFill="1" applyBorder="1"/>
    <xf numFmtId="0" fontId="0" fillId="0" borderId="2" xfId="0" applyBorder="1"/>
    <xf numFmtId="8" fontId="0" fillId="0" borderId="2" xfId="0" applyNumberFormat="1" applyBorder="1"/>
    <xf numFmtId="0" fontId="1" fillId="2" borderId="0" xfId="0" applyFont="1" applyFill="1" applyAlignment="1">
      <alignment vertical="center"/>
    </xf>
    <xf numFmtId="17" fontId="1" fillId="3" borderId="0" xfId="0" applyNumberFormat="1" applyFont="1" applyFill="1" applyAlignment="1">
      <alignment horizontal="center"/>
    </xf>
    <xf numFmtId="0" fontId="0" fillId="2" borderId="0" xfId="0" applyFill="1" applyAlignment="1">
      <alignment vertical="center"/>
    </xf>
    <xf numFmtId="17" fontId="0" fillId="0" borderId="1" xfId="0" applyNumberFormat="1" applyBorder="1"/>
    <xf numFmtId="17" fontId="0" fillId="0" borderId="2" xfId="0" applyNumberFormat="1" applyBorder="1"/>
    <xf numFmtId="0" fontId="1" fillId="2" borderId="2" xfId="0" applyFont="1" applyFill="1" applyBorder="1"/>
    <xf numFmtId="0" fontId="0" fillId="2" borderId="0" xfId="0" applyFill="1"/>
    <xf numFmtId="17" fontId="0" fillId="0" borderId="0" xfId="0" applyNumberFormat="1"/>
    <xf numFmtId="164" fontId="0" fillId="0" borderId="1" xfId="0" applyNumberFormat="1" applyBorder="1"/>
    <xf numFmtId="164" fontId="0" fillId="0" borderId="2" xfId="0" applyNumberFormat="1" applyBorder="1"/>
    <xf numFmtId="164" fontId="0" fillId="0" borderId="0" xfId="0" applyNumberFormat="1"/>
    <xf numFmtId="4" fontId="0" fillId="0" borderId="0" xfId="0" applyNumberFormat="1"/>
    <xf numFmtId="0" fontId="3" fillId="4" borderId="0" xfId="0" applyFont="1" applyFill="1"/>
    <xf numFmtId="4" fontId="3" fillId="4" borderId="0" xfId="0" applyNumberFormat="1" applyFont="1" applyFill="1"/>
    <xf numFmtId="0" fontId="4" fillId="4" borderId="3" xfId="0" applyFont="1" applyFill="1" applyBorder="1" applyAlignment="1">
      <alignment wrapText="1"/>
    </xf>
    <xf numFmtId="0" fontId="3" fillId="4" borderId="3" xfId="0" applyFont="1" applyFill="1" applyBorder="1" applyAlignment="1">
      <alignment horizontal="center" vertical="center"/>
    </xf>
    <xf numFmtId="0" fontId="1" fillId="2" borderId="3" xfId="0" applyFont="1" applyFill="1" applyBorder="1"/>
    <xf numFmtId="8" fontId="0" fillId="0" borderId="3" xfId="0" applyNumberFormat="1" applyBorder="1" applyAlignment="1">
      <alignment horizontal="center"/>
    </xf>
    <xf numFmtId="0" fontId="6" fillId="0" borderId="0" xfId="0" applyFont="1" applyAlignment="1">
      <alignment horizontal="centerContinuous"/>
    </xf>
    <xf numFmtId="0" fontId="7" fillId="4" borderId="3" xfId="1" applyFont="1" applyFill="1" applyBorder="1" applyAlignment="1">
      <alignment horizontal="center" vertical="center"/>
    </xf>
    <xf numFmtId="0" fontId="8" fillId="0" borderId="0" xfId="1" applyFont="1"/>
    <xf numFmtId="17" fontId="0" fillId="0" borderId="4" xfId="0" applyNumberFormat="1" applyBorder="1"/>
    <xf numFmtId="17" fontId="0" fillId="0" borderId="1" xfId="0" applyNumberForma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5" borderId="2" xfId="0" applyFill="1" applyBorder="1"/>
    <xf numFmtId="4" fontId="0" fillId="5" borderId="0" xfId="0" applyNumberFormat="1" applyFill="1"/>
    <xf numFmtId="4" fontId="1" fillId="2" borderId="0" xfId="0" applyNumberFormat="1" applyFont="1" applyFill="1"/>
    <xf numFmtId="8" fontId="0" fillId="0" borderId="0" xfId="0" applyNumberFormat="1" applyAlignment="1">
      <alignment horizontal="center"/>
    </xf>
    <xf numFmtId="4" fontId="1" fillId="0" borderId="1" xfId="0" applyNumberFormat="1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0" fillId="0" borderId="0" xfId="0" applyNumberFormat="1"/>
    <xf numFmtId="165" fontId="1" fillId="2" borderId="0" xfId="0" quotePrefix="1" applyNumberFormat="1" applyFont="1" applyFill="1"/>
    <xf numFmtId="0" fontId="1" fillId="6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8" fontId="0" fillId="0" borderId="0" xfId="0" applyNumberFormat="1" applyFill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149D1-6EBF-4D71-8DCC-07774BF50626}">
  <dimension ref="B3:G9"/>
  <sheetViews>
    <sheetView showGridLines="0" workbookViewId="0">
      <selection activeCell="D6" sqref="D6"/>
    </sheetView>
  </sheetViews>
  <sheetFormatPr defaultRowHeight="14.4" x14ac:dyDescent="0.3"/>
  <cols>
    <col min="2" max="2" width="12.5546875" customWidth="1"/>
    <col min="3" max="6" width="11.5546875" bestFit="1" customWidth="1"/>
    <col min="7" max="7" width="12.5546875" bestFit="1" customWidth="1"/>
  </cols>
  <sheetData>
    <row r="3" spans="2:7" ht="21" x14ac:dyDescent="0.4">
      <c r="B3" s="39" t="s">
        <v>67</v>
      </c>
      <c r="C3" s="39"/>
      <c r="D3" s="39"/>
      <c r="E3" s="39"/>
      <c r="F3" s="39"/>
      <c r="G3" s="39"/>
    </row>
    <row r="5" spans="2:7" ht="28.8" x14ac:dyDescent="0.3">
      <c r="B5" s="35" t="s">
        <v>66</v>
      </c>
      <c r="C5" s="40" t="s">
        <v>46</v>
      </c>
      <c r="D5" s="40" t="s">
        <v>61</v>
      </c>
      <c r="E5" s="40" t="s">
        <v>62</v>
      </c>
      <c r="F5" s="40" t="s">
        <v>41</v>
      </c>
      <c r="G5" s="36" t="s">
        <v>63</v>
      </c>
    </row>
    <row r="6" spans="2:7" x14ac:dyDescent="0.3">
      <c r="B6" s="37" t="s">
        <v>52</v>
      </c>
      <c r="C6" s="38">
        <f>SUMIF('EMPRÉSTIMO BROBOND'!C:C,'RESUMO GERAL'!B6,'EMPRÉSTIMO BROBOND'!B:B)</f>
        <v>0</v>
      </c>
      <c r="D6" s="38">
        <f>SUMIF('EMPRÉSTIMO PESSOAL JJEFFERSON'!C:C,'RESUMO GERAL'!B6,'EMPRÉSTIMO PESSOAL JJEFFERSON'!B:B)</f>
        <v>41000</v>
      </c>
      <c r="E6" s="38">
        <f>SUMIF('EMPRÉSTIMO PESSOAL PETRICK'!C:C,'RESUMO GERAL'!B6,'EMPRÉSTIMO PESSOAL PETRICK'!B:B)</f>
        <v>40000</v>
      </c>
      <c r="F6" s="38">
        <f>SUMIF('EMPRÉSTIMO PESSOAL PEIXOTO'!C:C,'RESUMO GERAL'!B6,'EMPRÉSTIMO PESSOAL PEIXOTO'!B:B)</f>
        <v>40000</v>
      </c>
      <c r="G6" s="38">
        <f t="shared" ref="G6:G8" si="0">SUM(C6:F6)</f>
        <v>121000</v>
      </c>
    </row>
    <row r="7" spans="2:7" x14ac:dyDescent="0.3">
      <c r="B7" s="37" t="s">
        <v>46</v>
      </c>
      <c r="C7" s="38">
        <f>SUMIF('EMPRÉSTIMO BROBOND'!C:C,'RESUMO GERAL'!B7,'EMPRÉSTIMO BROBOND'!B:B)</f>
        <v>94147</v>
      </c>
      <c r="D7" s="38">
        <f>SUMIF('EMPRÉSTIMO PESSOAL JJEFFERSON'!C:C,'RESUMO GERAL'!B7,'EMPRÉSTIMO PESSOAL JJEFFERSON'!B:B)</f>
        <v>26079</v>
      </c>
      <c r="E7" s="38">
        <f>SUMIF('EMPRÉSTIMO PESSOAL PETRICK'!C:C,'RESUMO GERAL'!B7,'EMPRÉSTIMO PESSOAL PETRICK'!B:B)</f>
        <v>0</v>
      </c>
      <c r="F7" s="38">
        <f>SUMIF('EMPRÉSTIMO PESSOAL PEIXOTO'!C:C,'RESUMO GERAL'!B7,'EMPRÉSTIMO PESSOAL PEIXOTO'!B:B)</f>
        <v>0</v>
      </c>
      <c r="G7" s="38">
        <f t="shared" si="0"/>
        <v>120226</v>
      </c>
    </row>
    <row r="8" spans="2:7" x14ac:dyDescent="0.3">
      <c r="B8" s="37" t="s">
        <v>49</v>
      </c>
      <c r="C8" s="38">
        <f>SUMIF('EMPRÉSTIMO BROBOND'!C:C,'RESUMO GERAL'!B8,'EMPRÉSTIMO BROBOND'!B:B)</f>
        <v>0</v>
      </c>
      <c r="D8" s="38">
        <f>SUMIF('EMPRÉSTIMO PESSOAL JJEFFERSON'!C:C,'RESUMO GERAL'!B8,'EMPRÉSTIMO PESSOAL JJEFFERSON'!B:B)</f>
        <v>60400</v>
      </c>
      <c r="E8" s="38">
        <f>SUMIF('EMPRÉSTIMO PESSOAL PETRICK'!C:C,'RESUMO GERAL'!B8,'EMPRÉSTIMO PESSOAL PETRICK'!B:B)</f>
        <v>59226.5</v>
      </c>
      <c r="F8" s="38">
        <f>SUMIF('EMPRÉSTIMO PESSOAL PEIXOTO'!C:C,'RESUMO GERAL'!B8,'EMPRÉSTIMO PESSOAL PEIXOTO'!B:B)</f>
        <v>59226.5</v>
      </c>
      <c r="G8" s="38">
        <f t="shared" si="0"/>
        <v>178853</v>
      </c>
    </row>
    <row r="9" spans="2:7" x14ac:dyDescent="0.3">
      <c r="B9" s="33" t="s">
        <v>31</v>
      </c>
      <c r="C9" s="34">
        <f>SUM(C6:C8)</f>
        <v>94147</v>
      </c>
      <c r="D9" s="34">
        <f>SUM(D6:D8)</f>
        <v>127479</v>
      </c>
      <c r="E9" s="34">
        <f>SUM(E6:E8)</f>
        <v>99226.5</v>
      </c>
      <c r="F9" s="34">
        <f>SUM(F6:F8)</f>
        <v>99226.5</v>
      </c>
      <c r="G9" s="34">
        <f>SUM(G6:G8)</f>
        <v>420079</v>
      </c>
    </row>
  </sheetData>
  <hyperlinks>
    <hyperlink ref="C5" location="'EMPRÉSTIMO BROBOND'!A1" display="Brobond" xr:uid="{71D37352-E336-44AF-AEAE-6118D40A5BF1}"/>
    <hyperlink ref="D5" location="'EMPRÉSTIMO PESSOAL JJEFFERSON'!A1" display="Jefferson" xr:uid="{C4AF9FFC-C6BC-40BE-9F26-40AE29601F84}"/>
    <hyperlink ref="E5" location="'EMPRÉSTIMO PESSOAL PETRICK'!A1" display="Petrick " xr:uid="{365D8D2C-7189-4027-8126-4D4F9A9CC1BD}"/>
    <hyperlink ref="F5" location="'EMPRÉSTIMO PESSOAL PEIXOTO'!A1" display="Peixoto" xr:uid="{74167772-0326-48A1-93E0-574DBE7FA974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AB129-8E40-40AC-BF52-F9AB7D70C272}">
  <sheetPr filterMode="1"/>
  <dimension ref="A1:AA103"/>
  <sheetViews>
    <sheetView tabSelected="1" topLeftCell="B1" zoomScale="85" zoomScaleNormal="85" workbookViewId="0">
      <selection activeCell="O14" sqref="O14"/>
    </sheetView>
  </sheetViews>
  <sheetFormatPr defaultRowHeight="14.4" x14ac:dyDescent="0.3"/>
  <cols>
    <col min="1" max="1" width="27.77734375" bestFit="1" customWidth="1"/>
    <col min="2" max="2" width="15.6640625" bestFit="1" customWidth="1"/>
    <col min="3" max="3" width="21.6640625" bestFit="1" customWidth="1"/>
    <col min="4" max="4" width="10.44140625" bestFit="1" customWidth="1"/>
    <col min="5" max="5" width="5.44140625" bestFit="1" customWidth="1"/>
    <col min="6" max="6" width="37.6640625" bestFit="1" customWidth="1"/>
    <col min="8" max="8" width="23.77734375" bestFit="1" customWidth="1"/>
    <col min="9" max="9" width="10" bestFit="1" customWidth="1"/>
    <col min="10" max="10" width="8.88671875" style="4"/>
    <col min="11" max="11" width="12" bestFit="1" customWidth="1"/>
    <col min="12" max="12" width="5.44140625" bestFit="1" customWidth="1"/>
    <col min="13" max="13" width="11" bestFit="1" customWidth="1"/>
    <col min="14" max="14" width="11.77734375" customWidth="1"/>
    <col min="15" max="15" width="10.88671875" bestFit="1" customWidth="1"/>
    <col min="16" max="16" width="14.21875" bestFit="1" customWidth="1"/>
    <col min="17" max="17" width="14.109375" bestFit="1" customWidth="1"/>
    <col min="18" max="18" width="48.44140625" bestFit="1" customWidth="1"/>
    <col min="25" max="25" width="9.44140625" bestFit="1" customWidth="1"/>
    <col min="26" max="27" width="11.6640625" bestFit="1" customWidth="1"/>
  </cols>
  <sheetData>
    <row r="1" spans="1:27" x14ac:dyDescent="0.3">
      <c r="A1" s="41" t="s">
        <v>68</v>
      </c>
    </row>
    <row r="2" spans="1:27" x14ac:dyDescent="0.3">
      <c r="B2" s="32">
        <f>SUBTOTAL(9,B4:B10)</f>
        <v>111400</v>
      </c>
      <c r="H2" s="63" t="s">
        <v>30</v>
      </c>
      <c r="I2" s="8" t="s">
        <v>16</v>
      </c>
      <c r="J2" s="9" t="s">
        <v>11</v>
      </c>
      <c r="K2" s="9" t="s">
        <v>10</v>
      </c>
      <c r="L2" s="9" t="s">
        <v>12</v>
      </c>
      <c r="M2" s="9" t="s">
        <v>27</v>
      </c>
      <c r="N2" s="9" t="s">
        <v>86</v>
      </c>
      <c r="O2" s="9" t="s">
        <v>87</v>
      </c>
      <c r="P2" s="9" t="s">
        <v>88</v>
      </c>
      <c r="Q2" s="9" t="s">
        <v>89</v>
      </c>
      <c r="R2" s="9" t="s">
        <v>90</v>
      </c>
    </row>
    <row r="3" spans="1:27" x14ac:dyDescent="0.3">
      <c r="A3" s="1" t="s">
        <v>1</v>
      </c>
      <c r="B3" s="1" t="s">
        <v>2</v>
      </c>
      <c r="C3" s="1" t="s">
        <v>60</v>
      </c>
      <c r="D3" s="1" t="s">
        <v>59</v>
      </c>
      <c r="E3" s="1" t="s">
        <v>12</v>
      </c>
      <c r="F3" s="1" t="s">
        <v>4</v>
      </c>
      <c r="H3" s="63"/>
      <c r="I3" s="10" t="s">
        <v>24</v>
      </c>
      <c r="J3" s="4">
        <v>1</v>
      </c>
      <c r="K3" s="5">
        <f>B5</f>
        <v>10000</v>
      </c>
      <c r="L3" s="6">
        <v>0.04</v>
      </c>
      <c r="M3" s="5">
        <f>IFERROR((K3*L3)/30*15," ")</f>
        <v>200</v>
      </c>
      <c r="N3" s="5">
        <f>IF(O3="","",M3+K3)</f>
        <v>10200</v>
      </c>
      <c r="O3" s="52">
        <v>15</v>
      </c>
      <c r="P3" s="5">
        <v>0</v>
      </c>
      <c r="Q3" s="5">
        <f>N3-P3</f>
        <v>10200</v>
      </c>
      <c r="S3">
        <v>2024</v>
      </c>
      <c r="Y3" s="5"/>
    </row>
    <row r="4" spans="1:27" x14ac:dyDescent="0.3">
      <c r="A4" s="2" t="s">
        <v>54</v>
      </c>
      <c r="B4" s="3">
        <v>11000</v>
      </c>
      <c r="C4" s="2" t="s">
        <v>52</v>
      </c>
      <c r="D4" s="24">
        <v>45566</v>
      </c>
      <c r="E4" s="29"/>
      <c r="F4" s="2"/>
      <c r="H4" s="63"/>
      <c r="I4" s="10" t="s">
        <v>25</v>
      </c>
      <c r="J4" s="4">
        <v>2</v>
      </c>
      <c r="K4" s="5">
        <f>Q3</f>
        <v>10200</v>
      </c>
      <c r="L4" s="6">
        <v>0.04</v>
      </c>
      <c r="M4" s="5">
        <f>IFERROR((K4*L4),"")</f>
        <v>408</v>
      </c>
      <c r="N4" s="5">
        <f t="shared" ref="N4:N12" si="0">IF(O4="","",M4+K4)</f>
        <v>10608</v>
      </c>
      <c r="O4" s="52">
        <v>30</v>
      </c>
      <c r="P4" s="5">
        <v>0</v>
      </c>
      <c r="Q4" s="5">
        <f t="shared" ref="Q4:Q23" si="1">N4-P4</f>
        <v>10608</v>
      </c>
      <c r="S4">
        <v>2024</v>
      </c>
    </row>
    <row r="5" spans="1:27" x14ac:dyDescent="0.3">
      <c r="A5" s="2" t="s">
        <v>0</v>
      </c>
      <c r="B5" s="3">
        <v>10000</v>
      </c>
      <c r="C5" s="2" t="s">
        <v>52</v>
      </c>
      <c r="D5" s="24">
        <v>45658</v>
      </c>
      <c r="E5" s="29">
        <v>0.04</v>
      </c>
      <c r="F5" s="2" t="s">
        <v>6</v>
      </c>
      <c r="H5" s="63"/>
      <c r="I5" s="10" t="s">
        <v>26</v>
      </c>
      <c r="J5" s="4">
        <v>3</v>
      </c>
      <c r="K5" s="5">
        <f t="shared" ref="K5:K20" si="2">Q4</f>
        <v>10608</v>
      </c>
      <c r="L5" s="6">
        <v>0.04</v>
      </c>
      <c r="M5" s="5">
        <f t="shared" ref="M5:M12" si="3">IFERROR((K5*L5),"")</f>
        <v>424.32</v>
      </c>
      <c r="N5" s="5">
        <f t="shared" si="0"/>
        <v>11032.32</v>
      </c>
      <c r="O5" s="52">
        <v>30</v>
      </c>
      <c r="P5" s="5">
        <v>0</v>
      </c>
      <c r="Q5" s="5">
        <f t="shared" si="1"/>
        <v>11032.32</v>
      </c>
      <c r="S5">
        <v>2024</v>
      </c>
    </row>
    <row r="6" spans="1:27" x14ac:dyDescent="0.3">
      <c r="A6" s="2" t="s">
        <v>3</v>
      </c>
      <c r="B6" s="3">
        <v>10000</v>
      </c>
      <c r="C6" s="2" t="s">
        <v>64</v>
      </c>
      <c r="D6" s="24">
        <v>45658</v>
      </c>
      <c r="E6" s="29">
        <v>0.05</v>
      </c>
      <c r="F6" s="2" t="s">
        <v>5</v>
      </c>
      <c r="H6" s="63"/>
      <c r="I6" s="10" t="s">
        <v>28</v>
      </c>
      <c r="J6" s="4">
        <v>4</v>
      </c>
      <c r="K6" s="5">
        <f t="shared" si="2"/>
        <v>11032.32</v>
      </c>
      <c r="L6" s="6">
        <v>0.04</v>
      </c>
      <c r="M6" s="5">
        <f t="shared" si="3"/>
        <v>441.2928</v>
      </c>
      <c r="N6" s="5">
        <f t="shared" si="0"/>
        <v>11473.612799999999</v>
      </c>
      <c r="O6" s="52">
        <v>30</v>
      </c>
      <c r="P6" s="5">
        <v>0</v>
      </c>
      <c r="Q6" s="5">
        <f t="shared" si="1"/>
        <v>11473.612799999999</v>
      </c>
      <c r="S6">
        <v>2025</v>
      </c>
    </row>
    <row r="7" spans="1:27" x14ac:dyDescent="0.3">
      <c r="A7" s="2" t="s">
        <v>7</v>
      </c>
      <c r="B7" s="3">
        <v>10000</v>
      </c>
      <c r="C7" s="2" t="s">
        <v>52</v>
      </c>
      <c r="D7" s="24">
        <v>45566</v>
      </c>
      <c r="E7" s="29">
        <v>0.02</v>
      </c>
      <c r="F7" s="2" t="s">
        <v>15</v>
      </c>
      <c r="H7" s="63"/>
      <c r="I7" s="10" t="s">
        <v>29</v>
      </c>
      <c r="J7" s="4">
        <v>5</v>
      </c>
      <c r="K7" s="5">
        <f t="shared" si="2"/>
        <v>11473.612799999999</v>
      </c>
      <c r="L7" s="6">
        <v>0.04</v>
      </c>
      <c r="M7" s="5">
        <f t="shared" si="3"/>
        <v>458.94451199999997</v>
      </c>
      <c r="N7" s="5">
        <f t="shared" si="0"/>
        <v>11932.557311999999</v>
      </c>
      <c r="O7" s="52">
        <v>30</v>
      </c>
      <c r="P7" s="5">
        <v>1650</v>
      </c>
      <c r="Q7" s="5">
        <f t="shared" si="1"/>
        <v>10282.557311999999</v>
      </c>
      <c r="R7" t="s">
        <v>91</v>
      </c>
      <c r="S7">
        <v>2025</v>
      </c>
    </row>
    <row r="8" spans="1:27" x14ac:dyDescent="0.3">
      <c r="A8" s="2" t="s">
        <v>7</v>
      </c>
      <c r="B8" s="3">
        <v>10000</v>
      </c>
      <c r="C8" s="2" t="s">
        <v>52</v>
      </c>
      <c r="D8" s="24">
        <v>45627</v>
      </c>
      <c r="E8" s="29">
        <v>0.02</v>
      </c>
      <c r="F8" s="2" t="s">
        <v>15</v>
      </c>
      <c r="H8" s="63"/>
      <c r="I8" s="10" t="s">
        <v>17</v>
      </c>
      <c r="J8" s="4">
        <v>6</v>
      </c>
      <c r="K8" s="5">
        <f t="shared" si="2"/>
        <v>10282.557311999999</v>
      </c>
      <c r="L8" s="6">
        <v>0.04</v>
      </c>
      <c r="M8" s="5">
        <f t="shared" si="3"/>
        <v>411.30229247999995</v>
      </c>
      <c r="N8" s="5">
        <f t="shared" si="0"/>
        <v>10693.85960448</v>
      </c>
      <c r="O8" s="52">
        <v>30</v>
      </c>
      <c r="P8" s="5">
        <v>150</v>
      </c>
      <c r="Q8" s="5">
        <f t="shared" si="1"/>
        <v>10543.85960448</v>
      </c>
      <c r="R8" t="s">
        <v>92</v>
      </c>
      <c r="S8">
        <v>2025</v>
      </c>
    </row>
    <row r="9" spans="1:27" x14ac:dyDescent="0.3">
      <c r="A9" s="19" t="s">
        <v>40</v>
      </c>
      <c r="B9" s="20">
        <v>30800</v>
      </c>
      <c r="C9" s="5" t="s">
        <v>49</v>
      </c>
      <c r="D9" s="25">
        <v>45870</v>
      </c>
      <c r="E9" s="30">
        <v>1.4999999999999999E-2</v>
      </c>
      <c r="F9" s="19" t="s">
        <v>48</v>
      </c>
      <c r="H9" s="63"/>
      <c r="I9" s="10" t="s">
        <v>18</v>
      </c>
      <c r="J9" s="4">
        <v>7</v>
      </c>
      <c r="K9" s="5">
        <f t="shared" si="2"/>
        <v>10543.85960448</v>
      </c>
      <c r="L9" s="6">
        <v>0.04</v>
      </c>
      <c r="M9" s="5">
        <f t="shared" si="3"/>
        <v>421.75438417919997</v>
      </c>
      <c r="N9" s="5">
        <f t="shared" si="0"/>
        <v>10965.613988659199</v>
      </c>
      <c r="O9" s="52">
        <v>30</v>
      </c>
      <c r="P9" s="5">
        <v>0</v>
      </c>
      <c r="Q9" s="5">
        <f t="shared" si="1"/>
        <v>10965.613988659199</v>
      </c>
      <c r="S9">
        <v>2025</v>
      </c>
    </row>
    <row r="10" spans="1:27" x14ac:dyDescent="0.3">
      <c r="A10" s="19" t="s">
        <v>55</v>
      </c>
      <c r="B10" s="20">
        <f>32000-2400</f>
        <v>29600</v>
      </c>
      <c r="C10" t="s">
        <v>49</v>
      </c>
      <c r="D10" s="25">
        <v>45901</v>
      </c>
      <c r="E10" s="30">
        <v>0.03</v>
      </c>
      <c r="F10" s="19" t="s">
        <v>69</v>
      </c>
      <c r="H10" s="63"/>
      <c r="I10" s="10" t="s">
        <v>19</v>
      </c>
      <c r="J10" s="4">
        <v>8</v>
      </c>
      <c r="K10" s="5">
        <f t="shared" si="2"/>
        <v>10965.613988659199</v>
      </c>
      <c r="L10" s="6">
        <v>0.04</v>
      </c>
      <c r="M10" s="5">
        <f t="shared" si="3"/>
        <v>438.62455954636795</v>
      </c>
      <c r="N10" s="5">
        <f t="shared" si="0"/>
        <v>11404.238548205567</v>
      </c>
      <c r="O10" s="52">
        <v>30</v>
      </c>
      <c r="P10" s="5">
        <v>0</v>
      </c>
      <c r="Q10" s="5">
        <f t="shared" si="1"/>
        <v>11404.238548205567</v>
      </c>
      <c r="S10">
        <v>2025</v>
      </c>
      <c r="W10" s="16">
        <f>Y12</f>
        <v>3457</v>
      </c>
      <c r="AA10" s="4" t="s">
        <v>80</v>
      </c>
    </row>
    <row r="11" spans="1:27" x14ac:dyDescent="0.3">
      <c r="A11" s="19"/>
      <c r="B11" s="20"/>
      <c r="C11" s="5"/>
      <c r="D11" s="28"/>
      <c r="E11" s="31"/>
      <c r="H11" s="63"/>
      <c r="I11" s="10" t="s">
        <v>20</v>
      </c>
      <c r="J11" s="4">
        <v>9</v>
      </c>
      <c r="K11" s="5">
        <f t="shared" si="2"/>
        <v>11404.238548205567</v>
      </c>
      <c r="L11" s="6">
        <v>0.04</v>
      </c>
      <c r="M11" s="5">
        <f t="shared" si="3"/>
        <v>456.16954192822271</v>
      </c>
      <c r="N11" s="5">
        <f t="shared" si="0"/>
        <v>11860.408090133789</v>
      </c>
      <c r="O11" s="52">
        <v>30</v>
      </c>
      <c r="P11" s="5">
        <v>0</v>
      </c>
      <c r="Q11" s="5">
        <f t="shared" si="1"/>
        <v>11860.408090133789</v>
      </c>
      <c r="S11">
        <v>2025</v>
      </c>
      <c r="W11" s="5">
        <f>W10-N10</f>
        <v>-7947.238548205567</v>
      </c>
      <c r="Y11" t="s">
        <v>74</v>
      </c>
      <c r="AA11" s="4">
        <v>10000</v>
      </c>
    </row>
    <row r="12" spans="1:27" x14ac:dyDescent="0.3">
      <c r="A12" s="26" t="s">
        <v>31</v>
      </c>
      <c r="B12" s="12">
        <f>SUM(B4:B10)</f>
        <v>111400</v>
      </c>
      <c r="C12" s="27"/>
      <c r="D12" s="27"/>
      <c r="E12" s="27"/>
      <c r="F12" s="27"/>
      <c r="H12" s="63"/>
      <c r="I12" s="10" t="s">
        <v>21</v>
      </c>
      <c r="J12" s="4">
        <v>10</v>
      </c>
      <c r="K12" s="5">
        <f t="shared" si="2"/>
        <v>11860.408090133789</v>
      </c>
      <c r="L12" s="6">
        <v>0.04</v>
      </c>
      <c r="M12" s="5">
        <f t="shared" si="3"/>
        <v>474.41632360535158</v>
      </c>
      <c r="N12" s="5">
        <f t="shared" si="0"/>
        <v>12334.824413739141</v>
      </c>
      <c r="O12" s="52">
        <v>30</v>
      </c>
      <c r="P12" s="5">
        <v>0</v>
      </c>
      <c r="Q12" s="5">
        <f t="shared" si="1"/>
        <v>12334.824413739141</v>
      </c>
      <c r="S12">
        <v>2025</v>
      </c>
      <c r="Y12">
        <v>3457</v>
      </c>
      <c r="Z12" s="5">
        <f>N30-Y12</f>
        <v>12903.574816164624</v>
      </c>
      <c r="AA12" s="48">
        <f>N14-AA11</f>
        <v>3341.3460859002553</v>
      </c>
    </row>
    <row r="13" spans="1:27" x14ac:dyDescent="0.3">
      <c r="H13" s="44"/>
      <c r="I13" s="10" t="s">
        <v>22</v>
      </c>
      <c r="J13" s="4">
        <v>11</v>
      </c>
      <c r="K13" s="5">
        <f t="shared" si="2"/>
        <v>12334.824413739141</v>
      </c>
      <c r="L13" s="6">
        <v>0.04</v>
      </c>
      <c r="M13" s="5">
        <f t="shared" ref="M13:M14" si="4">IFERROR((K13*L13),"")</f>
        <v>493.39297654956567</v>
      </c>
      <c r="N13" s="5">
        <f t="shared" ref="N13:N14" si="5">IF(O13="","",M13+K13)</f>
        <v>12828.217390288706</v>
      </c>
      <c r="O13" s="52">
        <v>30</v>
      </c>
      <c r="P13" s="5">
        <v>0</v>
      </c>
      <c r="Q13" s="5">
        <f t="shared" si="1"/>
        <v>12828.217390288706</v>
      </c>
      <c r="S13">
        <v>2025</v>
      </c>
    </row>
    <row r="14" spans="1:27" x14ac:dyDescent="0.3">
      <c r="H14" s="44"/>
      <c r="I14" s="10" t="s">
        <v>23</v>
      </c>
      <c r="J14" s="4">
        <v>12</v>
      </c>
      <c r="K14" s="5">
        <f t="shared" si="2"/>
        <v>12828.217390288706</v>
      </c>
      <c r="L14" s="6">
        <v>0.04</v>
      </c>
      <c r="M14" s="5">
        <f t="shared" si="4"/>
        <v>513.12869561154821</v>
      </c>
      <c r="N14" s="5">
        <f t="shared" si="5"/>
        <v>13341.346085900255</v>
      </c>
      <c r="O14" s="52">
        <v>30</v>
      </c>
      <c r="P14" s="5">
        <v>0</v>
      </c>
      <c r="Q14" s="5">
        <f t="shared" si="1"/>
        <v>13341.346085900255</v>
      </c>
      <c r="S14">
        <v>2025</v>
      </c>
    </row>
    <row r="15" spans="1:27" x14ac:dyDescent="0.3">
      <c r="H15" s="44"/>
      <c r="I15" s="10" t="s">
        <v>24</v>
      </c>
      <c r="J15" s="4">
        <v>13</v>
      </c>
      <c r="K15" s="5">
        <f t="shared" si="2"/>
        <v>13341.346085900255</v>
      </c>
      <c r="L15" s="6">
        <v>0.04</v>
      </c>
      <c r="M15" s="5">
        <f t="shared" ref="M15:M19" si="6">IFERROR((K15*L15),"")</f>
        <v>533.65384343601022</v>
      </c>
      <c r="N15" s="5">
        <f t="shared" ref="N15:N19" si="7">IF(O15="","",M15+K15)</f>
        <v>13874.999929336265</v>
      </c>
      <c r="O15" s="52">
        <v>30</v>
      </c>
      <c r="P15" s="5">
        <v>0</v>
      </c>
      <c r="Q15" s="5">
        <f t="shared" si="1"/>
        <v>13874.999929336265</v>
      </c>
      <c r="S15">
        <v>2025</v>
      </c>
    </row>
    <row r="16" spans="1:27" x14ac:dyDescent="0.3">
      <c r="H16" s="44"/>
      <c r="I16" s="10" t="s">
        <v>25</v>
      </c>
      <c r="J16" s="4">
        <v>14</v>
      </c>
      <c r="K16" s="5">
        <f t="shared" si="2"/>
        <v>13874.999929336265</v>
      </c>
      <c r="L16" s="6">
        <v>0.04</v>
      </c>
      <c r="M16" s="5">
        <f t="shared" si="6"/>
        <v>554.99999717345065</v>
      </c>
      <c r="N16" s="5">
        <f t="shared" si="7"/>
        <v>14429.999926509716</v>
      </c>
      <c r="O16" s="52">
        <v>30</v>
      </c>
      <c r="P16" s="5">
        <v>1500</v>
      </c>
      <c r="Q16" s="5">
        <f t="shared" si="1"/>
        <v>12929.999926509716</v>
      </c>
      <c r="R16" t="s">
        <v>93</v>
      </c>
      <c r="S16">
        <v>2025</v>
      </c>
    </row>
    <row r="17" spans="1:19" x14ac:dyDescent="0.3">
      <c r="H17" s="44"/>
      <c r="I17" s="10" t="s">
        <v>26</v>
      </c>
      <c r="J17" s="4">
        <v>15</v>
      </c>
      <c r="K17" s="5">
        <f t="shared" si="2"/>
        <v>12929.999926509716</v>
      </c>
      <c r="L17" s="6">
        <v>0.04</v>
      </c>
      <c r="M17" s="5">
        <f t="shared" si="6"/>
        <v>517.19999706038868</v>
      </c>
      <c r="N17" s="5">
        <f t="shared" si="7"/>
        <v>13447.199923570104</v>
      </c>
      <c r="O17" s="52">
        <v>30</v>
      </c>
      <c r="P17" s="5">
        <v>0</v>
      </c>
      <c r="Q17" s="5">
        <f t="shared" si="1"/>
        <v>13447.199923570104</v>
      </c>
      <c r="S17">
        <v>2025</v>
      </c>
    </row>
    <row r="18" spans="1:19" x14ac:dyDescent="0.3">
      <c r="H18" s="44"/>
      <c r="I18" s="10" t="s">
        <v>28</v>
      </c>
      <c r="J18" s="4">
        <v>16</v>
      </c>
      <c r="K18" s="5">
        <f t="shared" si="2"/>
        <v>13447.199923570104</v>
      </c>
      <c r="L18" s="6">
        <v>0.04</v>
      </c>
      <c r="M18" s="5">
        <f t="shared" si="6"/>
        <v>537.88799694280419</v>
      </c>
      <c r="N18" s="5">
        <f t="shared" si="7"/>
        <v>13985.087920512908</v>
      </c>
      <c r="O18" s="52">
        <v>30</v>
      </c>
      <c r="P18" s="5">
        <v>0</v>
      </c>
      <c r="Q18" s="5">
        <f t="shared" si="1"/>
        <v>13985.087920512908</v>
      </c>
      <c r="S18">
        <v>2026</v>
      </c>
    </row>
    <row r="19" spans="1:19" x14ac:dyDescent="0.3">
      <c r="H19" s="44"/>
      <c r="I19" s="10" t="s">
        <v>29</v>
      </c>
      <c r="J19" s="4">
        <v>17</v>
      </c>
      <c r="K19" s="5">
        <f t="shared" si="2"/>
        <v>13985.087920512908</v>
      </c>
      <c r="L19" s="6">
        <v>0.04</v>
      </c>
      <c r="M19" s="5">
        <f t="shared" si="6"/>
        <v>559.4035168205163</v>
      </c>
      <c r="N19" s="5">
        <f t="shared" si="7"/>
        <v>14544.491437333423</v>
      </c>
      <c r="O19" s="52">
        <v>30</v>
      </c>
      <c r="P19" s="5">
        <v>0</v>
      </c>
      <c r="Q19" s="5">
        <f t="shared" si="1"/>
        <v>14544.491437333423</v>
      </c>
      <c r="S19">
        <v>2026</v>
      </c>
    </row>
    <row r="20" spans="1:19" x14ac:dyDescent="0.3">
      <c r="H20" s="44"/>
      <c r="I20" s="10" t="s">
        <v>17</v>
      </c>
      <c r="J20" s="4">
        <v>19</v>
      </c>
      <c r="K20" s="5">
        <f t="shared" si="2"/>
        <v>14544.491437333423</v>
      </c>
      <c r="L20" s="6">
        <v>0.04</v>
      </c>
      <c r="M20" s="5">
        <f t="shared" ref="M20:M23" si="8">IFERROR((K20*L20),"")</f>
        <v>581.77965749333691</v>
      </c>
      <c r="N20" s="5">
        <f t="shared" ref="N20:N23" si="9">IF(O20="","",M20+K20)</f>
        <v>15126.27109482676</v>
      </c>
      <c r="O20" s="52">
        <v>30</v>
      </c>
      <c r="P20" s="5">
        <v>0</v>
      </c>
      <c r="Q20" s="5">
        <f t="shared" si="1"/>
        <v>15126.27109482676</v>
      </c>
      <c r="S20">
        <v>2026</v>
      </c>
    </row>
    <row r="21" spans="1:19" x14ac:dyDescent="0.3">
      <c r="H21" s="44"/>
      <c r="I21" s="10" t="s">
        <v>18</v>
      </c>
      <c r="J21" s="4">
        <v>20</v>
      </c>
      <c r="K21" s="5">
        <f t="shared" ref="K21:K23" si="10">Q20</f>
        <v>15126.27109482676</v>
      </c>
      <c r="L21" s="6">
        <v>0.04</v>
      </c>
      <c r="M21" s="5">
        <f t="shared" si="8"/>
        <v>605.05084379307038</v>
      </c>
      <c r="N21" s="5">
        <f t="shared" si="9"/>
        <v>15731.321938619831</v>
      </c>
      <c r="O21" s="52">
        <v>30</v>
      </c>
      <c r="P21" s="5">
        <v>0</v>
      </c>
      <c r="Q21" s="5">
        <f t="shared" si="1"/>
        <v>15731.321938619831</v>
      </c>
      <c r="S21">
        <v>2026</v>
      </c>
    </row>
    <row r="22" spans="1:19" x14ac:dyDescent="0.3">
      <c r="H22" s="44"/>
      <c r="I22" s="10" t="s">
        <v>19</v>
      </c>
      <c r="J22" s="4">
        <v>21</v>
      </c>
      <c r="K22" s="5">
        <f t="shared" si="10"/>
        <v>15731.321938619831</v>
      </c>
      <c r="L22" s="6">
        <v>0.04</v>
      </c>
      <c r="M22" s="5">
        <f t="shared" si="8"/>
        <v>629.25287754479325</v>
      </c>
      <c r="N22" s="5">
        <f t="shared" si="9"/>
        <v>16360.574816164624</v>
      </c>
      <c r="O22" s="52">
        <v>30</v>
      </c>
      <c r="P22" s="5">
        <v>1100</v>
      </c>
      <c r="Q22" s="5">
        <f t="shared" si="1"/>
        <v>15260.574816164624</v>
      </c>
      <c r="S22">
        <v>2026</v>
      </c>
    </row>
    <row r="23" spans="1:19" x14ac:dyDescent="0.3">
      <c r="A23" s="1" t="s">
        <v>1</v>
      </c>
      <c r="B23" s="1" t="s">
        <v>32</v>
      </c>
      <c r="H23" s="44"/>
      <c r="I23" s="10" t="s">
        <v>20</v>
      </c>
      <c r="J23" s="4">
        <v>22</v>
      </c>
      <c r="K23" s="5">
        <f t="shared" si="10"/>
        <v>15260.574816164624</v>
      </c>
      <c r="L23" s="6">
        <v>0.04</v>
      </c>
      <c r="M23" s="5">
        <f t="shared" si="8"/>
        <v>610.42299264658493</v>
      </c>
      <c r="N23" s="5">
        <f t="shared" si="9"/>
        <v>15870.997808811209</v>
      </c>
      <c r="O23" s="52">
        <v>30</v>
      </c>
      <c r="P23" s="5">
        <v>0</v>
      </c>
      <c r="Q23" s="5">
        <f t="shared" si="1"/>
        <v>15870.997808811209</v>
      </c>
      <c r="S23">
        <v>2026</v>
      </c>
    </row>
    <row r="24" spans="1:19" x14ac:dyDescent="0.3">
      <c r="H24" s="44"/>
      <c r="I24" s="10" t="s">
        <v>21</v>
      </c>
      <c r="J24" s="4">
        <v>23</v>
      </c>
      <c r="K24" s="5">
        <f t="shared" ref="K24:K29" si="11">Q23</f>
        <v>15870.997808811209</v>
      </c>
      <c r="L24" s="6">
        <v>0.04</v>
      </c>
      <c r="M24" s="5">
        <f t="shared" ref="M24:M29" si="12">IFERROR((K24*L24),"")</f>
        <v>634.83991235244844</v>
      </c>
      <c r="N24" s="5">
        <f t="shared" ref="N24:N29" si="13">IF(O24="","",M24+K24)</f>
        <v>16505.837721163658</v>
      </c>
      <c r="O24" s="52">
        <v>30</v>
      </c>
      <c r="P24" s="5">
        <v>0</v>
      </c>
      <c r="Q24" s="5"/>
      <c r="S24">
        <v>2026</v>
      </c>
    </row>
    <row r="25" spans="1:19" x14ac:dyDescent="0.3">
      <c r="H25" s="44"/>
      <c r="I25" s="10" t="s">
        <v>22</v>
      </c>
      <c r="J25" s="4">
        <v>24</v>
      </c>
      <c r="K25" s="5">
        <f t="shared" si="11"/>
        <v>0</v>
      </c>
      <c r="L25" s="6">
        <v>0.04</v>
      </c>
      <c r="M25" s="5">
        <f t="shared" si="12"/>
        <v>0</v>
      </c>
      <c r="N25" s="5">
        <f t="shared" si="13"/>
        <v>0</v>
      </c>
      <c r="O25" s="52">
        <v>30</v>
      </c>
      <c r="P25" s="5">
        <v>0</v>
      </c>
      <c r="Q25" s="5"/>
      <c r="S25">
        <v>2026</v>
      </c>
    </row>
    <row r="26" spans="1:19" x14ac:dyDescent="0.3">
      <c r="H26" s="44"/>
      <c r="I26" s="10" t="s">
        <v>23</v>
      </c>
      <c r="J26" s="4">
        <v>25</v>
      </c>
      <c r="K26" s="5">
        <f t="shared" si="11"/>
        <v>0</v>
      </c>
      <c r="L26" s="6">
        <v>0.04</v>
      </c>
      <c r="M26" s="5">
        <f t="shared" si="12"/>
        <v>0</v>
      </c>
      <c r="N26" s="5">
        <f t="shared" si="13"/>
        <v>0</v>
      </c>
      <c r="O26" s="52">
        <v>30</v>
      </c>
      <c r="P26" s="5">
        <v>0</v>
      </c>
      <c r="Q26" s="5"/>
      <c r="S26">
        <v>2026</v>
      </c>
    </row>
    <row r="27" spans="1:19" x14ac:dyDescent="0.3">
      <c r="H27" s="44"/>
      <c r="I27" s="10" t="s">
        <v>24</v>
      </c>
      <c r="J27" s="4">
        <v>26</v>
      </c>
      <c r="K27" s="5">
        <f t="shared" si="11"/>
        <v>0</v>
      </c>
      <c r="L27" s="6">
        <v>0.04</v>
      </c>
      <c r="M27" s="5">
        <f t="shared" si="12"/>
        <v>0</v>
      </c>
      <c r="N27" s="5">
        <f t="shared" si="13"/>
        <v>0</v>
      </c>
      <c r="O27" s="52">
        <v>30</v>
      </c>
      <c r="P27" s="5">
        <v>0</v>
      </c>
      <c r="Q27" s="5"/>
      <c r="S27">
        <v>2026</v>
      </c>
    </row>
    <row r="28" spans="1:19" x14ac:dyDescent="0.3">
      <c r="H28" s="44"/>
      <c r="I28" s="10" t="s">
        <v>25</v>
      </c>
      <c r="J28" s="4">
        <v>27</v>
      </c>
      <c r="K28" s="5">
        <f t="shared" si="11"/>
        <v>0</v>
      </c>
      <c r="L28" s="6">
        <v>0.04</v>
      </c>
      <c r="M28" s="5">
        <f t="shared" si="12"/>
        <v>0</v>
      </c>
      <c r="N28" s="5">
        <f t="shared" si="13"/>
        <v>0</v>
      </c>
      <c r="O28" s="52">
        <v>30</v>
      </c>
      <c r="P28" s="5">
        <v>0</v>
      </c>
      <c r="Q28" s="5"/>
      <c r="S28">
        <v>2026</v>
      </c>
    </row>
    <row r="29" spans="1:19" x14ac:dyDescent="0.3">
      <c r="H29" s="44"/>
      <c r="I29" s="10" t="s">
        <v>26</v>
      </c>
      <c r="J29" s="4">
        <v>28</v>
      </c>
      <c r="K29" s="5">
        <f t="shared" si="11"/>
        <v>0</v>
      </c>
      <c r="L29" s="6">
        <v>0.04</v>
      </c>
      <c r="M29" s="5">
        <f t="shared" si="12"/>
        <v>0</v>
      </c>
      <c r="N29" s="5">
        <f t="shared" si="13"/>
        <v>0</v>
      </c>
      <c r="O29" s="52">
        <v>30</v>
      </c>
      <c r="P29" s="5">
        <v>0</v>
      </c>
      <c r="Q29" s="5"/>
      <c r="S29">
        <v>2026</v>
      </c>
    </row>
    <row r="30" spans="1:19" x14ac:dyDescent="0.3">
      <c r="A30" s="2" t="s">
        <v>0</v>
      </c>
      <c r="B30" s="13">
        <f>SUMIF(H:H,A30,N:N)</f>
        <v>16360.574816164624</v>
      </c>
      <c r="D30">
        <v>185</v>
      </c>
      <c r="E30">
        <v>3</v>
      </c>
      <c r="F30">
        <f>D30*E30</f>
        <v>555</v>
      </c>
      <c r="H30" s="11" t="str">
        <f>A5</f>
        <v>AMIGA MAMAE</v>
      </c>
      <c r="I30" s="11" t="s">
        <v>31</v>
      </c>
      <c r="J30" s="11"/>
      <c r="K30" s="11"/>
      <c r="L30" s="11"/>
      <c r="M30" s="11"/>
      <c r="N30" s="12">
        <f>LARGE(N3:N23,1)</f>
        <v>16360.574816164624</v>
      </c>
      <c r="O30" s="53">
        <f>SUM(O3:O23)</f>
        <v>615</v>
      </c>
      <c r="P30" s="12">
        <f>SUM(P3:P23)</f>
        <v>4400</v>
      </c>
      <c r="Q30" s="12"/>
    </row>
    <row r="31" spans="1:19" x14ac:dyDescent="0.3">
      <c r="A31" s="2" t="s">
        <v>3</v>
      </c>
      <c r="B31" s="13">
        <f>SUMIF(H:H,A31,N:N)</f>
        <v>14049.973787853125</v>
      </c>
      <c r="D31">
        <v>144</v>
      </c>
      <c r="E31">
        <v>3</v>
      </c>
      <c r="F31">
        <f>D31*E31</f>
        <v>432</v>
      </c>
    </row>
    <row r="32" spans="1:19" x14ac:dyDescent="0.3">
      <c r="A32" s="2" t="s">
        <v>7</v>
      </c>
      <c r="B32" s="13">
        <f>SUMIF(H:H,A32,N:N)</f>
        <v>45775.848155853128</v>
      </c>
      <c r="D32">
        <v>346</v>
      </c>
      <c r="E32">
        <v>2</v>
      </c>
      <c r="F32">
        <f>D32*E32</f>
        <v>692</v>
      </c>
    </row>
    <row r="33" spans="1:15" x14ac:dyDescent="0.3">
      <c r="A33" s="2" t="s">
        <v>40</v>
      </c>
      <c r="B33" s="13">
        <f>SUMIF(H:H,A33,N:N)</f>
        <v>33012.058464000002</v>
      </c>
      <c r="F33">
        <f>SUM(F30:F32)</f>
        <v>1679</v>
      </c>
      <c r="H33" s="63" t="s">
        <v>30</v>
      </c>
      <c r="I33" s="8" t="s">
        <v>16</v>
      </c>
      <c r="J33" s="9" t="s">
        <v>11</v>
      </c>
      <c r="K33" s="9" t="s">
        <v>10</v>
      </c>
      <c r="L33" s="9" t="s">
        <v>12</v>
      </c>
      <c r="M33" s="9" t="s">
        <v>27</v>
      </c>
      <c r="N33" s="9" t="s">
        <v>13</v>
      </c>
      <c r="O33" s="9" t="s">
        <v>14</v>
      </c>
    </row>
    <row r="34" spans="1:15" x14ac:dyDescent="0.3">
      <c r="A34" s="14" t="s">
        <v>34</v>
      </c>
      <c r="B34" s="15">
        <f>SUM(B30:B33)</f>
        <v>109198.45522387087</v>
      </c>
      <c r="H34" s="63"/>
      <c r="I34" s="10" t="s">
        <v>28</v>
      </c>
      <c r="J34" s="4">
        <v>1</v>
      </c>
      <c r="K34" s="5">
        <f>B6</f>
        <v>10000</v>
      </c>
      <c r="L34" s="6">
        <v>0.03</v>
      </c>
      <c r="M34" s="5">
        <f>IFERROR((K34*L34)/30*15," ")</f>
        <v>150</v>
      </c>
      <c r="N34" s="5">
        <f>IF(O34="","",M34+K34)</f>
        <v>10150</v>
      </c>
      <c r="O34" s="7">
        <v>45777</v>
      </c>
    </row>
    <row r="35" spans="1:15" x14ac:dyDescent="0.3">
      <c r="H35" s="63"/>
      <c r="I35" s="10" t="s">
        <v>29</v>
      </c>
      <c r="J35" s="4">
        <v>2</v>
      </c>
      <c r="K35" s="5">
        <f>N34</f>
        <v>10150</v>
      </c>
      <c r="L35" s="6">
        <v>0.03</v>
      </c>
      <c r="M35" s="5">
        <f>IFERROR((K35*L35),"")</f>
        <v>304.5</v>
      </c>
      <c r="N35" s="5">
        <f t="shared" ref="N35:N42" si="14">IF(O35="","",M35+K35)</f>
        <v>10454.5</v>
      </c>
      <c r="O35" s="7">
        <f t="shared" ref="O35:O57" si="15">SUM(O34+30)</f>
        <v>45807</v>
      </c>
    </row>
    <row r="36" spans="1:15" x14ac:dyDescent="0.3">
      <c r="H36" s="63"/>
      <c r="I36" s="10" t="s">
        <v>17</v>
      </c>
      <c r="J36" s="4">
        <v>3</v>
      </c>
      <c r="K36" s="5">
        <f t="shared" ref="K36:K45" si="16">N35</f>
        <v>10454.5</v>
      </c>
      <c r="L36" s="6">
        <v>0.03</v>
      </c>
      <c r="M36" s="5">
        <f t="shared" ref="M36:M42" si="17">IFERROR((K36*L36),"")</f>
        <v>313.63499999999999</v>
      </c>
      <c r="N36" s="5">
        <f t="shared" si="14"/>
        <v>10768.135</v>
      </c>
      <c r="O36" s="7">
        <f t="shared" si="15"/>
        <v>45837</v>
      </c>
    </row>
    <row r="37" spans="1:15" x14ac:dyDescent="0.3">
      <c r="H37" s="63"/>
      <c r="I37" s="10" t="s">
        <v>18</v>
      </c>
      <c r="J37" s="4">
        <v>4</v>
      </c>
      <c r="K37" s="5">
        <f t="shared" si="16"/>
        <v>10768.135</v>
      </c>
      <c r="L37" s="6">
        <v>0.03</v>
      </c>
      <c r="M37" s="5">
        <f t="shared" si="17"/>
        <v>323.04404999999997</v>
      </c>
      <c r="N37" s="5">
        <f t="shared" si="14"/>
        <v>11091.179050000001</v>
      </c>
      <c r="O37" s="7">
        <f t="shared" si="15"/>
        <v>45867</v>
      </c>
    </row>
    <row r="38" spans="1:15" x14ac:dyDescent="0.3">
      <c r="A38" s="1" t="s">
        <v>1</v>
      </c>
      <c r="B38" s="1" t="s">
        <v>2</v>
      </c>
      <c r="C38" s="1" t="s">
        <v>60</v>
      </c>
      <c r="D38" s="1" t="s">
        <v>59</v>
      </c>
      <c r="H38" s="63"/>
      <c r="I38" s="10" t="s">
        <v>19</v>
      </c>
      <c r="J38" s="4">
        <v>5</v>
      </c>
      <c r="K38" s="5">
        <f t="shared" si="16"/>
        <v>11091.179050000001</v>
      </c>
      <c r="L38" s="6">
        <v>0.03</v>
      </c>
      <c r="M38" s="5">
        <f t="shared" si="17"/>
        <v>332.73537149999999</v>
      </c>
      <c r="N38" s="5">
        <f t="shared" si="14"/>
        <v>11423.914421500001</v>
      </c>
      <c r="O38" s="7">
        <f t="shared" si="15"/>
        <v>45897</v>
      </c>
    </row>
    <row r="39" spans="1:15" x14ac:dyDescent="0.3">
      <c r="A39" s="2" t="s">
        <v>7</v>
      </c>
      <c r="B39" s="3">
        <v>20000</v>
      </c>
      <c r="C39" s="2" t="s">
        <v>81</v>
      </c>
      <c r="D39" s="43">
        <v>45566</v>
      </c>
      <c r="H39" s="63"/>
      <c r="I39" s="10" t="s">
        <v>20</v>
      </c>
      <c r="J39" s="4">
        <v>6</v>
      </c>
      <c r="K39" s="5">
        <f t="shared" si="16"/>
        <v>11423.914421500001</v>
      </c>
      <c r="L39" s="6">
        <v>0.03</v>
      </c>
      <c r="M39" s="5">
        <f t="shared" si="17"/>
        <v>342.71743264500003</v>
      </c>
      <c r="N39" s="5">
        <f t="shared" si="14"/>
        <v>11766.631854145002</v>
      </c>
      <c r="O39" s="7">
        <f t="shared" si="15"/>
        <v>45927</v>
      </c>
    </row>
    <row r="40" spans="1:15" x14ac:dyDescent="0.3">
      <c r="A40" s="2" t="s">
        <v>7</v>
      </c>
      <c r="B40" s="3">
        <v>5000</v>
      </c>
      <c r="C40" s="2" t="s">
        <v>82</v>
      </c>
      <c r="D40" s="43">
        <v>45717</v>
      </c>
      <c r="H40" s="63"/>
      <c r="I40" s="10" t="s">
        <v>21</v>
      </c>
      <c r="J40" s="4">
        <v>7</v>
      </c>
      <c r="K40" s="5">
        <f t="shared" si="16"/>
        <v>11766.631854145002</v>
      </c>
      <c r="L40" s="6">
        <v>0.03</v>
      </c>
      <c r="M40" s="5">
        <f t="shared" si="17"/>
        <v>352.99895562435006</v>
      </c>
      <c r="N40" s="5">
        <f t="shared" si="14"/>
        <v>12119.630809769353</v>
      </c>
      <c r="O40" s="7">
        <f t="shared" si="15"/>
        <v>45957</v>
      </c>
    </row>
    <row r="41" spans="1:15" x14ac:dyDescent="0.3">
      <c r="A41" s="2" t="s">
        <v>7</v>
      </c>
      <c r="B41" s="3">
        <v>15000</v>
      </c>
      <c r="C41" s="2" t="s">
        <v>82</v>
      </c>
      <c r="D41" s="43">
        <v>45825</v>
      </c>
      <c r="H41" s="63"/>
      <c r="I41" s="10" t="s">
        <v>22</v>
      </c>
      <c r="J41" s="4">
        <v>8</v>
      </c>
      <c r="K41" s="5">
        <f t="shared" si="16"/>
        <v>12119.630809769353</v>
      </c>
      <c r="L41" s="6">
        <v>0.03</v>
      </c>
      <c r="M41" s="5">
        <f t="shared" si="17"/>
        <v>363.58892429308059</v>
      </c>
      <c r="N41" s="5">
        <f t="shared" si="14"/>
        <v>12483.219734062433</v>
      </c>
      <c r="O41" s="7">
        <f t="shared" si="15"/>
        <v>45987</v>
      </c>
    </row>
    <row r="42" spans="1:15" x14ac:dyDescent="0.3">
      <c r="A42" s="2" t="s">
        <v>7</v>
      </c>
      <c r="B42" s="20">
        <v>2400</v>
      </c>
      <c r="C42" s="19" t="s">
        <v>82</v>
      </c>
      <c r="D42" s="43">
        <v>45931</v>
      </c>
      <c r="H42" s="63"/>
      <c r="I42" s="10" t="s">
        <v>23</v>
      </c>
      <c r="J42" s="4">
        <v>9</v>
      </c>
      <c r="K42" s="5">
        <f t="shared" si="16"/>
        <v>12483.219734062433</v>
      </c>
      <c r="L42" s="6">
        <v>0.03</v>
      </c>
      <c r="M42" s="5">
        <f t="shared" si="17"/>
        <v>374.49659202187297</v>
      </c>
      <c r="N42" s="5">
        <f t="shared" si="14"/>
        <v>12857.716326084306</v>
      </c>
      <c r="O42" s="7">
        <f t="shared" si="15"/>
        <v>46017</v>
      </c>
    </row>
    <row r="43" spans="1:15" x14ac:dyDescent="0.3">
      <c r="A43" s="2" t="s">
        <v>71</v>
      </c>
      <c r="B43" s="3">
        <v>2000</v>
      </c>
      <c r="C43" s="2" t="s">
        <v>84</v>
      </c>
      <c r="D43" s="43">
        <v>45924</v>
      </c>
      <c r="H43" s="63"/>
      <c r="I43" s="10" t="s">
        <v>24</v>
      </c>
      <c r="J43" s="4">
        <v>10</v>
      </c>
      <c r="K43" s="5">
        <f t="shared" si="16"/>
        <v>12857.716326084306</v>
      </c>
      <c r="L43" s="6">
        <v>0.03</v>
      </c>
      <c r="M43" s="5">
        <f t="shared" ref="M43:M45" si="18">IFERROR((K43*L43),"")</f>
        <v>385.7314897825292</v>
      </c>
      <c r="N43" s="5">
        <f t="shared" ref="N43:N45" si="19">IF(O43="","",M43+K43)</f>
        <v>13243.447815866835</v>
      </c>
      <c r="O43" s="7">
        <f t="shared" si="15"/>
        <v>46047</v>
      </c>
    </row>
    <row r="44" spans="1:15" x14ac:dyDescent="0.3">
      <c r="A44" s="2" t="s">
        <v>71</v>
      </c>
      <c r="B44" s="3">
        <v>1600</v>
      </c>
      <c r="C44" s="2" t="s">
        <v>84</v>
      </c>
      <c r="D44" s="43">
        <v>45931</v>
      </c>
      <c r="H44" s="63"/>
      <c r="I44" s="10" t="s">
        <v>25</v>
      </c>
      <c r="J44" s="4">
        <v>11</v>
      </c>
      <c r="K44" s="5">
        <f t="shared" si="16"/>
        <v>13243.447815866835</v>
      </c>
      <c r="L44" s="6">
        <v>0.03</v>
      </c>
      <c r="M44" s="5">
        <f t="shared" si="18"/>
        <v>397.30343447600507</v>
      </c>
      <c r="N44" s="5">
        <f t="shared" si="19"/>
        <v>13640.751250342841</v>
      </c>
      <c r="O44" s="7">
        <f t="shared" si="15"/>
        <v>46077</v>
      </c>
    </row>
    <row r="45" spans="1:15" x14ac:dyDescent="0.3">
      <c r="A45" s="2" t="s">
        <v>73</v>
      </c>
      <c r="B45" s="3">
        <v>600</v>
      </c>
      <c r="C45" s="2" t="s">
        <v>84</v>
      </c>
      <c r="D45" s="43">
        <v>45964</v>
      </c>
      <c r="H45" s="63"/>
      <c r="I45" s="10" t="s">
        <v>26</v>
      </c>
      <c r="J45" s="4">
        <v>12</v>
      </c>
      <c r="K45" s="5">
        <f t="shared" si="16"/>
        <v>13640.751250342841</v>
      </c>
      <c r="L45" s="6">
        <v>0.03</v>
      </c>
      <c r="M45" s="5">
        <f t="shared" si="18"/>
        <v>409.22253751028518</v>
      </c>
      <c r="N45" s="5">
        <f t="shared" si="19"/>
        <v>14049.973787853125</v>
      </c>
      <c r="O45" s="7">
        <f t="shared" si="15"/>
        <v>46107</v>
      </c>
    </row>
    <row r="46" spans="1:15" x14ac:dyDescent="0.3">
      <c r="A46" s="2" t="s">
        <v>73</v>
      </c>
      <c r="B46" s="3">
        <v>1679</v>
      </c>
      <c r="C46" s="2" t="s">
        <v>82</v>
      </c>
      <c r="D46" s="43">
        <v>45964</v>
      </c>
      <c r="H46" s="44"/>
      <c r="I46" s="10" t="s">
        <v>28</v>
      </c>
      <c r="J46" s="4">
        <v>13</v>
      </c>
      <c r="K46" s="5">
        <f t="shared" ref="K46:K57" si="20">N45</f>
        <v>14049.973787853125</v>
      </c>
      <c r="L46" s="6">
        <v>0.03</v>
      </c>
      <c r="M46" s="5">
        <f t="shared" ref="M46:M57" si="21">IFERROR((K46*L46),"")</f>
        <v>421.49921363559372</v>
      </c>
      <c r="N46" s="5">
        <f t="shared" ref="N46:N57" si="22">IF(O46="","",M46+K46)</f>
        <v>14471.473001488719</v>
      </c>
      <c r="O46" s="7">
        <f t="shared" si="15"/>
        <v>46137</v>
      </c>
    </row>
    <row r="47" spans="1:15" x14ac:dyDescent="0.3">
      <c r="A47" s="2" t="s">
        <v>109</v>
      </c>
      <c r="B47" s="3">
        <v>2000</v>
      </c>
      <c r="C47" s="2" t="s">
        <v>82</v>
      </c>
      <c r="D47" s="43" t="s">
        <v>110</v>
      </c>
      <c r="H47" s="44"/>
      <c r="I47" s="10" t="s">
        <v>29</v>
      </c>
      <c r="J47" s="4">
        <v>14</v>
      </c>
      <c r="K47" s="5">
        <f t="shared" si="20"/>
        <v>14471.473001488719</v>
      </c>
      <c r="L47" s="6">
        <v>0.03</v>
      </c>
      <c r="M47" s="5">
        <f t="shared" si="21"/>
        <v>434.14419004466157</v>
      </c>
      <c r="N47" s="5">
        <f t="shared" si="22"/>
        <v>14905.61719153338</v>
      </c>
      <c r="O47" s="7">
        <f t="shared" si="15"/>
        <v>46167</v>
      </c>
    </row>
    <row r="48" spans="1:15" x14ac:dyDescent="0.3">
      <c r="A48" s="2"/>
      <c r="B48" s="3"/>
      <c r="C48" s="2"/>
      <c r="D48" s="43"/>
      <c r="H48" s="44"/>
      <c r="I48" s="10" t="s">
        <v>17</v>
      </c>
      <c r="J48" s="4">
        <v>15</v>
      </c>
      <c r="K48" s="5">
        <f t="shared" si="20"/>
        <v>14905.61719153338</v>
      </c>
      <c r="L48" s="6">
        <v>0.03</v>
      </c>
      <c r="M48" s="5">
        <f t="shared" si="21"/>
        <v>447.16851574600139</v>
      </c>
      <c r="N48" s="5">
        <f t="shared" si="22"/>
        <v>15352.785707279381</v>
      </c>
      <c r="O48" s="7">
        <f t="shared" si="15"/>
        <v>46197</v>
      </c>
    </row>
    <row r="49" spans="1:15" x14ac:dyDescent="0.3">
      <c r="A49" s="2"/>
      <c r="B49" s="3"/>
      <c r="C49" s="2"/>
      <c r="D49" s="43"/>
      <c r="H49" s="44"/>
      <c r="I49" s="10" t="s">
        <v>18</v>
      </c>
      <c r="J49" s="4">
        <v>16</v>
      </c>
      <c r="K49" s="5">
        <f t="shared" si="20"/>
        <v>15352.785707279381</v>
      </c>
      <c r="L49" s="6">
        <v>0.03</v>
      </c>
      <c r="M49" s="5">
        <f t="shared" si="21"/>
        <v>460.58357121838139</v>
      </c>
      <c r="N49" s="5">
        <f t="shared" si="22"/>
        <v>15813.369278497763</v>
      </c>
      <c r="O49" s="7">
        <f t="shared" si="15"/>
        <v>46227</v>
      </c>
    </row>
    <row r="50" spans="1:15" x14ac:dyDescent="0.3">
      <c r="A50" s="2"/>
      <c r="B50" s="3"/>
      <c r="C50" s="2"/>
      <c r="D50" s="43"/>
      <c r="H50" s="44"/>
      <c r="I50" s="10" t="s">
        <v>19</v>
      </c>
      <c r="J50" s="4">
        <v>17</v>
      </c>
      <c r="K50" s="5">
        <f t="shared" si="20"/>
        <v>15813.369278497763</v>
      </c>
      <c r="L50" s="6">
        <v>0.03</v>
      </c>
      <c r="M50" s="5">
        <f t="shared" si="21"/>
        <v>474.40107835493285</v>
      </c>
      <c r="N50" s="5">
        <f t="shared" si="22"/>
        <v>16287.770356852696</v>
      </c>
      <c r="O50" s="7">
        <f t="shared" si="15"/>
        <v>46257</v>
      </c>
    </row>
    <row r="51" spans="1:15" x14ac:dyDescent="0.3">
      <c r="A51" s="2"/>
      <c r="B51" s="3"/>
      <c r="C51" s="2"/>
      <c r="D51" s="43"/>
      <c r="H51" s="44"/>
      <c r="I51" s="10" t="s">
        <v>20</v>
      </c>
      <c r="J51" s="4">
        <v>18</v>
      </c>
      <c r="K51" s="5">
        <f t="shared" si="20"/>
        <v>16287.770356852696</v>
      </c>
      <c r="L51" s="6">
        <v>0.03</v>
      </c>
      <c r="M51" s="5">
        <f t="shared" si="21"/>
        <v>488.63311070558086</v>
      </c>
      <c r="N51" s="5">
        <f t="shared" si="22"/>
        <v>16776.403467558277</v>
      </c>
      <c r="O51" s="7">
        <f t="shared" si="15"/>
        <v>46287</v>
      </c>
    </row>
    <row r="52" spans="1:15" x14ac:dyDescent="0.3">
      <c r="A52" s="2"/>
      <c r="B52" s="3"/>
      <c r="C52" s="2"/>
      <c r="D52" s="43"/>
      <c r="H52" s="44"/>
      <c r="I52" s="10" t="s">
        <v>21</v>
      </c>
      <c r="J52" s="4">
        <v>19</v>
      </c>
      <c r="K52" s="5">
        <f t="shared" si="20"/>
        <v>16776.403467558277</v>
      </c>
      <c r="L52" s="6">
        <v>0.03</v>
      </c>
      <c r="M52" s="5">
        <f t="shared" si="21"/>
        <v>503.29210402674829</v>
      </c>
      <c r="N52" s="5">
        <f t="shared" si="22"/>
        <v>17279.695571585024</v>
      </c>
      <c r="O52" s="7">
        <f t="shared" si="15"/>
        <v>46317</v>
      </c>
    </row>
    <row r="53" spans="1:15" x14ac:dyDescent="0.3">
      <c r="A53" s="2"/>
      <c r="B53" s="3"/>
      <c r="C53" s="2"/>
      <c r="D53" s="43"/>
      <c r="H53" s="44"/>
      <c r="I53" s="10" t="s">
        <v>22</v>
      </c>
      <c r="J53" s="4">
        <v>20</v>
      </c>
      <c r="K53" s="5">
        <f t="shared" si="20"/>
        <v>17279.695571585024</v>
      </c>
      <c r="L53" s="6">
        <v>0.03</v>
      </c>
      <c r="M53" s="5">
        <f t="shared" si="21"/>
        <v>518.39086714755069</v>
      </c>
      <c r="N53" s="5">
        <f t="shared" si="22"/>
        <v>17798.086438732575</v>
      </c>
      <c r="O53" s="7">
        <f t="shared" si="15"/>
        <v>46347</v>
      </c>
    </row>
    <row r="54" spans="1:15" x14ac:dyDescent="0.3">
      <c r="A54" s="2"/>
      <c r="B54" s="3"/>
      <c r="C54" s="2"/>
      <c r="D54" s="43"/>
      <c r="H54" s="44"/>
      <c r="I54" s="10" t="s">
        <v>23</v>
      </c>
      <c r="J54" s="4">
        <v>21</v>
      </c>
      <c r="K54" s="5">
        <f t="shared" si="20"/>
        <v>17798.086438732575</v>
      </c>
      <c r="L54" s="6">
        <v>0.03</v>
      </c>
      <c r="M54" s="5">
        <f t="shared" si="21"/>
        <v>533.94259316197724</v>
      </c>
      <c r="N54" s="5">
        <f t="shared" si="22"/>
        <v>18332.029031894552</v>
      </c>
      <c r="O54" s="7">
        <f t="shared" si="15"/>
        <v>46377</v>
      </c>
    </row>
    <row r="55" spans="1:15" x14ac:dyDescent="0.3">
      <c r="A55" s="2"/>
      <c r="B55" s="3"/>
      <c r="C55" s="2"/>
      <c r="D55" s="43"/>
      <c r="H55" s="44"/>
      <c r="I55" s="10" t="s">
        <v>24</v>
      </c>
      <c r="J55" s="4">
        <v>22</v>
      </c>
      <c r="K55" s="5">
        <f t="shared" si="20"/>
        <v>18332.029031894552</v>
      </c>
      <c r="L55" s="6">
        <v>0.03</v>
      </c>
      <c r="M55" s="5">
        <f t="shared" si="21"/>
        <v>549.96087095683652</v>
      </c>
      <c r="N55" s="5">
        <f t="shared" si="22"/>
        <v>18881.98990285139</v>
      </c>
      <c r="O55" s="7">
        <f t="shared" si="15"/>
        <v>46407</v>
      </c>
    </row>
    <row r="56" spans="1:15" x14ac:dyDescent="0.3">
      <c r="A56" s="2"/>
      <c r="B56" s="3"/>
      <c r="C56" s="2"/>
      <c r="D56" s="43"/>
      <c r="H56" s="44"/>
      <c r="I56" s="10" t="s">
        <v>25</v>
      </c>
      <c r="J56" s="4">
        <v>23</v>
      </c>
      <c r="K56" s="5">
        <f t="shared" si="20"/>
        <v>18881.98990285139</v>
      </c>
      <c r="L56" s="6">
        <v>0.03</v>
      </c>
      <c r="M56" s="5">
        <f t="shared" si="21"/>
        <v>566.45969708554173</v>
      </c>
      <c r="N56" s="5">
        <f t="shared" si="22"/>
        <v>19448.449599936932</v>
      </c>
      <c r="O56" s="7">
        <f t="shared" si="15"/>
        <v>46437</v>
      </c>
    </row>
    <row r="57" spans="1:15" x14ac:dyDescent="0.3">
      <c r="A57" s="2"/>
      <c r="B57" s="3"/>
      <c r="C57" s="2"/>
      <c r="D57" s="43"/>
      <c r="H57" s="44"/>
      <c r="I57" s="10" t="s">
        <v>26</v>
      </c>
      <c r="J57" s="4">
        <v>24</v>
      </c>
      <c r="K57" s="5">
        <f t="shared" si="20"/>
        <v>19448.449599936932</v>
      </c>
      <c r="L57" s="6">
        <v>0.03</v>
      </c>
      <c r="M57" s="5">
        <f t="shared" si="21"/>
        <v>583.4534879981079</v>
      </c>
      <c r="N57" s="5">
        <f t="shared" si="22"/>
        <v>20031.903087935039</v>
      </c>
      <c r="O57" s="7">
        <f t="shared" si="15"/>
        <v>46467</v>
      </c>
    </row>
    <row r="58" spans="1:15" x14ac:dyDescent="0.3">
      <c r="H58" s="11" t="str">
        <f>A6</f>
        <v>TIO ELSON</v>
      </c>
      <c r="I58" s="11" t="s">
        <v>31</v>
      </c>
      <c r="J58" s="11"/>
      <c r="K58" s="11"/>
      <c r="L58" s="11"/>
      <c r="M58" s="11"/>
      <c r="N58" s="12">
        <f>LARGE(N36:N45,1)</f>
        <v>14049.973787853125</v>
      </c>
      <c r="O58" s="8"/>
    </row>
    <row r="60" spans="1:15" x14ac:dyDescent="0.3">
      <c r="A60" s="61" t="s">
        <v>83</v>
      </c>
      <c r="B60" s="62"/>
    </row>
    <row r="61" spans="1:15" x14ac:dyDescent="0.3">
      <c r="A61" s="50" t="s">
        <v>81</v>
      </c>
      <c r="B61" s="13">
        <f>SUMIF($C$39:$C$57,$A61,$B$39:$B$57)</f>
        <v>20000</v>
      </c>
      <c r="H61" s="63" t="s">
        <v>30</v>
      </c>
      <c r="I61" s="8" t="s">
        <v>16</v>
      </c>
      <c r="J61" s="9" t="s">
        <v>11</v>
      </c>
      <c r="K61" s="9" t="s">
        <v>10</v>
      </c>
      <c r="L61" s="9" t="s">
        <v>12</v>
      </c>
      <c r="M61" s="9" t="s">
        <v>27</v>
      </c>
      <c r="N61" s="9" t="s">
        <v>13</v>
      </c>
      <c r="O61" s="9" t="s">
        <v>14</v>
      </c>
    </row>
    <row r="62" spans="1:15" x14ac:dyDescent="0.3">
      <c r="A62" s="50" t="s">
        <v>82</v>
      </c>
      <c r="B62" s="13">
        <f>SUMIF($C$39:$C$57,$A62,$B$39:$B$57)</f>
        <v>26079</v>
      </c>
      <c r="H62" s="63"/>
      <c r="I62" s="10" t="s">
        <v>28</v>
      </c>
      <c r="J62" s="4">
        <v>1</v>
      </c>
      <c r="K62" s="5">
        <f>B7</f>
        <v>10000</v>
      </c>
      <c r="L62" s="6">
        <v>0.03</v>
      </c>
      <c r="M62" s="5">
        <f>IFERROR((K62*L62)/30*15," ")</f>
        <v>150</v>
      </c>
      <c r="N62" s="5">
        <f>IF(O62="","",M62+K62)</f>
        <v>10150</v>
      </c>
      <c r="O62" s="7">
        <v>45777</v>
      </c>
    </row>
    <row r="63" spans="1:15" x14ac:dyDescent="0.3">
      <c r="A63" s="50" t="s">
        <v>84</v>
      </c>
      <c r="B63" s="13">
        <f>SUMIF($C$39:$C$57,$A63,$B$39:$B$57)</f>
        <v>4200</v>
      </c>
      <c r="H63" s="63"/>
      <c r="I63" s="10" t="s">
        <v>29</v>
      </c>
      <c r="J63" s="4">
        <v>2</v>
      </c>
      <c r="K63" s="5">
        <f>N62</f>
        <v>10150</v>
      </c>
      <c r="L63" s="6">
        <v>0.03</v>
      </c>
      <c r="M63" s="5">
        <f>IFERROR((K63*L63),"")</f>
        <v>304.5</v>
      </c>
      <c r="N63" s="5">
        <f t="shared" ref="N63:N70" si="23">IF(O63="","",M63+K63)</f>
        <v>10454.5</v>
      </c>
      <c r="O63" s="7">
        <f t="shared" ref="O63:O73" si="24">SUM(O62+30)</f>
        <v>45807</v>
      </c>
    </row>
    <row r="64" spans="1:15" x14ac:dyDescent="0.3">
      <c r="A64" s="2"/>
      <c r="B64" s="2"/>
      <c r="H64" s="63"/>
      <c r="I64" s="10" t="s">
        <v>17</v>
      </c>
      <c r="J64" s="4">
        <v>3</v>
      </c>
      <c r="K64" s="5">
        <f t="shared" ref="K64:K70" si="25">N63</f>
        <v>10454.5</v>
      </c>
      <c r="L64" s="6">
        <v>0.03</v>
      </c>
      <c r="M64" s="5">
        <f t="shared" ref="M64:M70" si="26">IFERROR((K64*L64),"")</f>
        <v>313.63499999999999</v>
      </c>
      <c r="N64" s="5">
        <f t="shared" si="23"/>
        <v>10768.135</v>
      </c>
      <c r="O64" s="7">
        <f t="shared" si="24"/>
        <v>45837</v>
      </c>
    </row>
    <row r="65" spans="1:15" x14ac:dyDescent="0.3">
      <c r="A65" s="51" t="s">
        <v>85</v>
      </c>
      <c r="B65" s="49">
        <f>SUM(B61:B64)</f>
        <v>50279</v>
      </c>
      <c r="H65" s="63"/>
      <c r="I65" s="10" t="s">
        <v>18</v>
      </c>
      <c r="J65" s="4">
        <v>4</v>
      </c>
      <c r="K65" s="5">
        <f t="shared" si="25"/>
        <v>10768.135</v>
      </c>
      <c r="L65" s="6">
        <v>0.03</v>
      </c>
      <c r="M65" s="5">
        <f t="shared" si="26"/>
        <v>323.04404999999997</v>
      </c>
      <c r="N65" s="5">
        <f t="shared" si="23"/>
        <v>11091.179050000001</v>
      </c>
      <c r="O65" s="7">
        <f t="shared" si="24"/>
        <v>45867</v>
      </c>
    </row>
    <row r="66" spans="1:15" x14ac:dyDescent="0.3">
      <c r="H66" s="63"/>
      <c r="I66" s="10" t="s">
        <v>19</v>
      </c>
      <c r="J66" s="4">
        <v>5</v>
      </c>
      <c r="K66" s="5">
        <f t="shared" si="25"/>
        <v>11091.179050000001</v>
      </c>
      <c r="L66" s="6">
        <v>0.03</v>
      </c>
      <c r="M66" s="5">
        <f t="shared" si="26"/>
        <v>332.73537149999999</v>
      </c>
      <c r="N66" s="5">
        <f t="shared" si="23"/>
        <v>11423.914421500001</v>
      </c>
      <c r="O66" s="7">
        <f t="shared" si="24"/>
        <v>45897</v>
      </c>
    </row>
    <row r="67" spans="1:15" x14ac:dyDescent="0.3">
      <c r="A67" t="s">
        <v>98</v>
      </c>
      <c r="H67" s="63"/>
      <c r="I67" s="10" t="s">
        <v>20</v>
      </c>
      <c r="J67" s="4">
        <v>6</v>
      </c>
      <c r="K67" s="5">
        <f t="shared" si="25"/>
        <v>11423.914421500001</v>
      </c>
      <c r="L67" s="6">
        <v>0.03</v>
      </c>
      <c r="M67" s="5">
        <f t="shared" si="26"/>
        <v>342.71743264500003</v>
      </c>
      <c r="N67" s="5">
        <f t="shared" si="23"/>
        <v>11766.631854145002</v>
      </c>
      <c r="O67" s="7">
        <f t="shared" si="24"/>
        <v>45927</v>
      </c>
    </row>
    <row r="68" spans="1:15" x14ac:dyDescent="0.3">
      <c r="A68" t="s">
        <v>94</v>
      </c>
      <c r="B68" t="s">
        <v>2</v>
      </c>
      <c r="H68" s="63"/>
      <c r="I68" s="10" t="s">
        <v>21</v>
      </c>
      <c r="J68" s="4">
        <v>7</v>
      </c>
      <c r="K68" s="5">
        <f t="shared" si="25"/>
        <v>11766.631854145002</v>
      </c>
      <c r="L68" s="6">
        <v>0.03</v>
      </c>
      <c r="M68" s="5">
        <f t="shared" si="26"/>
        <v>352.99895562435006</v>
      </c>
      <c r="N68" s="5">
        <f t="shared" si="23"/>
        <v>12119.630809769353</v>
      </c>
      <c r="O68" s="7">
        <f t="shared" si="24"/>
        <v>45957</v>
      </c>
    </row>
    <row r="69" spans="1:15" x14ac:dyDescent="0.3">
      <c r="A69" s="7">
        <v>45566</v>
      </c>
      <c r="B69" s="32">
        <v>20000</v>
      </c>
      <c r="C69" t="s">
        <v>95</v>
      </c>
      <c r="H69" s="63"/>
      <c r="I69" s="10" t="s">
        <v>22</v>
      </c>
      <c r="J69" s="4">
        <v>8</v>
      </c>
      <c r="K69" s="5">
        <f t="shared" si="25"/>
        <v>12119.630809769353</v>
      </c>
      <c r="L69" s="6">
        <v>0.03</v>
      </c>
      <c r="M69" s="5">
        <f t="shared" si="26"/>
        <v>363.58892429308059</v>
      </c>
      <c r="N69" s="5">
        <f t="shared" si="23"/>
        <v>12483.219734062433</v>
      </c>
      <c r="O69" s="7">
        <f t="shared" si="24"/>
        <v>45987</v>
      </c>
    </row>
    <row r="70" spans="1:15" x14ac:dyDescent="0.3">
      <c r="A70" s="7">
        <v>45733</v>
      </c>
      <c r="B70" s="32">
        <v>5000</v>
      </c>
      <c r="C70" t="s">
        <v>95</v>
      </c>
      <c r="H70" s="63"/>
      <c r="I70" s="10" t="s">
        <v>23</v>
      </c>
      <c r="J70" s="4">
        <v>9</v>
      </c>
      <c r="K70" s="5">
        <f t="shared" si="25"/>
        <v>12483.219734062433</v>
      </c>
      <c r="L70" s="6">
        <v>0.03</v>
      </c>
      <c r="M70" s="5">
        <f t="shared" si="26"/>
        <v>374.49659202187297</v>
      </c>
      <c r="N70" s="5">
        <f t="shared" si="23"/>
        <v>12857.716326084306</v>
      </c>
      <c r="O70" s="7">
        <f t="shared" si="24"/>
        <v>46017</v>
      </c>
    </row>
    <row r="71" spans="1:15" x14ac:dyDescent="0.3">
      <c r="A71" s="7">
        <v>45800</v>
      </c>
      <c r="B71" s="32">
        <v>7000</v>
      </c>
      <c r="C71" t="s">
        <v>96</v>
      </c>
      <c r="H71" s="63"/>
      <c r="I71" s="10" t="s">
        <v>24</v>
      </c>
      <c r="J71" s="4">
        <v>10</v>
      </c>
      <c r="K71" s="5">
        <f t="shared" ref="K71:K73" si="27">N70</f>
        <v>12857.716326084306</v>
      </c>
      <c r="L71" s="6">
        <v>0.03</v>
      </c>
      <c r="M71" s="5">
        <f t="shared" ref="M71:M73" si="28">IFERROR((K71*L71),"")</f>
        <v>385.7314897825292</v>
      </c>
      <c r="N71" s="5">
        <f t="shared" ref="N71:N73" si="29">IF(O71="","",M71+K71)</f>
        <v>13243.447815866835</v>
      </c>
      <c r="O71" s="7">
        <f t="shared" si="24"/>
        <v>46047</v>
      </c>
    </row>
    <row r="72" spans="1:15" x14ac:dyDescent="0.3">
      <c r="A72" s="7">
        <v>45822</v>
      </c>
      <c r="B72" s="32">
        <v>8000</v>
      </c>
      <c r="C72" t="s">
        <v>96</v>
      </c>
      <c r="H72" s="63"/>
      <c r="I72" s="10" t="s">
        <v>25</v>
      </c>
      <c r="J72" s="4">
        <v>11</v>
      </c>
      <c r="K72" s="5">
        <f t="shared" si="27"/>
        <v>13243.447815866835</v>
      </c>
      <c r="L72" s="6">
        <v>0.03</v>
      </c>
      <c r="M72" s="5">
        <f t="shared" si="28"/>
        <v>397.30343447600507</v>
      </c>
      <c r="N72" s="5">
        <f t="shared" si="29"/>
        <v>13640.751250342841</v>
      </c>
      <c r="O72" s="7">
        <f t="shared" si="24"/>
        <v>46077</v>
      </c>
    </row>
    <row r="73" spans="1:15" x14ac:dyDescent="0.3">
      <c r="A73" s="7">
        <v>45918</v>
      </c>
      <c r="B73" s="32">
        <v>9800</v>
      </c>
      <c r="C73" t="s">
        <v>96</v>
      </c>
      <c r="H73" s="63"/>
      <c r="I73" s="10" t="s">
        <v>26</v>
      </c>
      <c r="J73" s="4">
        <v>12</v>
      </c>
      <c r="K73" s="5">
        <f t="shared" si="27"/>
        <v>13640.751250342841</v>
      </c>
      <c r="L73" s="6">
        <v>0.03</v>
      </c>
      <c r="M73" s="5">
        <f t="shared" si="28"/>
        <v>409.22253751028518</v>
      </c>
      <c r="N73" s="5">
        <f t="shared" si="29"/>
        <v>14049.973787853125</v>
      </c>
      <c r="O73" s="7">
        <f t="shared" si="24"/>
        <v>46107</v>
      </c>
    </row>
    <row r="74" spans="1:15" x14ac:dyDescent="0.3">
      <c r="A74" s="7">
        <v>45918</v>
      </c>
      <c r="B74" s="32">
        <v>10000</v>
      </c>
      <c r="C74" t="s">
        <v>97</v>
      </c>
      <c r="H74" s="44"/>
      <c r="I74" s="10"/>
      <c r="K74" s="5"/>
      <c r="L74" s="6"/>
      <c r="M74" s="5"/>
      <c r="N74" s="5"/>
      <c r="O74" s="7"/>
    </row>
    <row r="75" spans="1:15" x14ac:dyDescent="0.3">
      <c r="A75" s="7">
        <v>45918</v>
      </c>
      <c r="B75" s="32">
        <v>2400</v>
      </c>
      <c r="C75" t="s">
        <v>96</v>
      </c>
      <c r="H75" s="44"/>
      <c r="I75" s="10"/>
      <c r="K75" s="5"/>
      <c r="L75" s="6"/>
      <c r="M75" s="5"/>
      <c r="N75" s="5"/>
      <c r="O75" s="7"/>
    </row>
    <row r="76" spans="1:15" x14ac:dyDescent="0.3">
      <c r="A76" s="7">
        <v>45924</v>
      </c>
      <c r="B76" s="32">
        <v>9800</v>
      </c>
      <c r="C76" t="s">
        <v>96</v>
      </c>
      <c r="H76" s="44"/>
      <c r="I76" s="10"/>
      <c r="K76" s="5"/>
      <c r="L76" s="6"/>
      <c r="M76" s="5"/>
      <c r="N76" s="5"/>
      <c r="O76" s="7"/>
    </row>
    <row r="77" spans="1:15" x14ac:dyDescent="0.3">
      <c r="A77" s="54" t="s">
        <v>31</v>
      </c>
      <c r="B77" s="54">
        <f>SUM(B69:B76)</f>
        <v>72000</v>
      </c>
      <c r="H77" s="11" t="str">
        <f>A7</f>
        <v>FLÁVIA</v>
      </c>
      <c r="I77" s="11" t="s">
        <v>31</v>
      </c>
      <c r="J77" s="11"/>
      <c r="K77" s="11"/>
      <c r="L77" s="11"/>
      <c r="M77" s="11"/>
      <c r="N77" s="12">
        <f>LARGE(N64:N73,1)</f>
        <v>14049.973787853125</v>
      </c>
      <c r="O77" s="8"/>
    </row>
    <row r="80" spans="1:15" x14ac:dyDescent="0.3">
      <c r="H80" s="63" t="s">
        <v>30</v>
      </c>
      <c r="I80" s="8" t="s">
        <v>16</v>
      </c>
      <c r="J80" s="9" t="s">
        <v>11</v>
      </c>
      <c r="K80" s="9" t="s">
        <v>10</v>
      </c>
      <c r="L80" s="9" t="s">
        <v>12</v>
      </c>
      <c r="M80" s="9" t="s">
        <v>27</v>
      </c>
      <c r="N80" s="9" t="s">
        <v>13</v>
      </c>
      <c r="O80" s="9" t="s">
        <v>14</v>
      </c>
    </row>
    <row r="81" spans="8:15" x14ac:dyDescent="0.3">
      <c r="H81" s="63"/>
      <c r="I81" s="10" t="s">
        <v>22</v>
      </c>
      <c r="J81" s="4">
        <v>1</v>
      </c>
      <c r="K81" s="5">
        <f>B9</f>
        <v>30800</v>
      </c>
      <c r="L81" s="6">
        <v>0.02</v>
      </c>
      <c r="M81" s="5">
        <f>IFERROR((K81*L81)/30*15," ")</f>
        <v>308</v>
      </c>
      <c r="N81" s="5">
        <f>IF(O81="","",M81+K81)</f>
        <v>31108</v>
      </c>
      <c r="O81" s="7">
        <v>45777</v>
      </c>
    </row>
    <row r="82" spans="8:15" x14ac:dyDescent="0.3">
      <c r="H82" s="63"/>
      <c r="I82" s="10" t="s">
        <v>23</v>
      </c>
      <c r="J82" s="4">
        <v>2</v>
      </c>
      <c r="K82" s="5">
        <f>N81</f>
        <v>31108</v>
      </c>
      <c r="L82" s="6">
        <v>0.02</v>
      </c>
      <c r="M82" s="5">
        <f>IFERROR((K82*L82),"")</f>
        <v>622.16</v>
      </c>
      <c r="N82" s="5">
        <f t="shared" ref="N82:N84" si="30">IF(O82="","",M82+K82)</f>
        <v>31730.16</v>
      </c>
      <c r="O82" s="7">
        <f t="shared" ref="O82:O84" si="31">SUM(O81+30)</f>
        <v>45807</v>
      </c>
    </row>
    <row r="83" spans="8:15" x14ac:dyDescent="0.3">
      <c r="H83" s="63"/>
      <c r="I83" s="10" t="s">
        <v>24</v>
      </c>
      <c r="J83" s="4">
        <v>3</v>
      </c>
      <c r="K83" s="5">
        <f t="shared" ref="K83:K84" si="32">N82</f>
        <v>31730.16</v>
      </c>
      <c r="L83" s="6">
        <v>0.02</v>
      </c>
      <c r="M83" s="5">
        <f t="shared" ref="M83:M84" si="33">IFERROR((K83*L83),"")</f>
        <v>634.60320000000002</v>
      </c>
      <c r="N83" s="5">
        <f t="shared" si="30"/>
        <v>32364.763200000001</v>
      </c>
      <c r="O83" s="7">
        <f t="shared" si="31"/>
        <v>45837</v>
      </c>
    </row>
    <row r="84" spans="8:15" x14ac:dyDescent="0.3">
      <c r="H84" s="63"/>
      <c r="I84" s="10" t="s">
        <v>25</v>
      </c>
      <c r="J84" s="4">
        <v>4</v>
      </c>
      <c r="K84" s="5">
        <f t="shared" si="32"/>
        <v>32364.763200000001</v>
      </c>
      <c r="L84" s="6">
        <v>0.02</v>
      </c>
      <c r="M84" s="5">
        <f t="shared" si="33"/>
        <v>647.29526400000009</v>
      </c>
      <c r="N84" s="5">
        <f t="shared" si="30"/>
        <v>33012.058464000002</v>
      </c>
      <c r="O84" s="7">
        <f t="shared" si="31"/>
        <v>45867</v>
      </c>
    </row>
    <row r="85" spans="8:15" x14ac:dyDescent="0.3">
      <c r="H85" s="44"/>
      <c r="I85" s="10"/>
      <c r="K85" s="5"/>
      <c r="L85" s="6"/>
      <c r="M85" s="5"/>
      <c r="N85" s="5"/>
      <c r="O85" s="7"/>
    </row>
    <row r="86" spans="8:15" x14ac:dyDescent="0.3">
      <c r="H86" s="44"/>
      <c r="I86" s="10"/>
      <c r="K86" s="5"/>
      <c r="L86" s="6"/>
      <c r="M86" s="5"/>
      <c r="N86" s="5"/>
      <c r="O86" s="7"/>
    </row>
    <row r="87" spans="8:15" x14ac:dyDescent="0.3">
      <c r="H87" s="44"/>
      <c r="I87" s="10"/>
      <c r="K87" s="5"/>
      <c r="L87" s="6"/>
      <c r="M87" s="5"/>
      <c r="N87" s="5"/>
      <c r="O87" s="7"/>
    </row>
    <row r="88" spans="8:15" x14ac:dyDescent="0.3">
      <c r="H88" s="11" t="str">
        <f>A33</f>
        <v>PETRICK E PEIXOTO</v>
      </c>
      <c r="I88" s="11" t="s">
        <v>31</v>
      </c>
      <c r="J88" s="11"/>
      <c r="K88" s="11"/>
      <c r="L88" s="11"/>
      <c r="M88" s="11"/>
      <c r="N88" s="12">
        <f>N84</f>
        <v>33012.058464000002</v>
      </c>
      <c r="O88" s="8"/>
    </row>
    <row r="89" spans="8:15" x14ac:dyDescent="0.3">
      <c r="K89" t="s">
        <v>41</v>
      </c>
      <c r="N89" s="5">
        <f>N88/2</f>
        <v>16506.029232000001</v>
      </c>
    </row>
    <row r="90" spans="8:15" x14ac:dyDescent="0.3">
      <c r="K90" t="s">
        <v>42</v>
      </c>
      <c r="N90" s="5">
        <f>N88/2</f>
        <v>16506.029232000001</v>
      </c>
    </row>
    <row r="91" spans="8:15" x14ac:dyDescent="0.3">
      <c r="H91" s="11"/>
      <c r="I91" s="11"/>
      <c r="J91" s="11"/>
      <c r="K91" s="11"/>
      <c r="L91" s="11"/>
      <c r="M91" s="11"/>
      <c r="N91" s="12"/>
      <c r="O91" s="8"/>
    </row>
    <row r="95" spans="8:15" x14ac:dyDescent="0.3">
      <c r="H95" s="63" t="s">
        <v>30</v>
      </c>
      <c r="I95" s="8" t="s">
        <v>16</v>
      </c>
      <c r="J95" s="9" t="s">
        <v>11</v>
      </c>
      <c r="K95" s="9" t="s">
        <v>10</v>
      </c>
      <c r="L95" s="9" t="s">
        <v>12</v>
      </c>
      <c r="M95" s="9" t="s">
        <v>27</v>
      </c>
      <c r="N95" s="9" t="s">
        <v>13</v>
      </c>
      <c r="O95" s="9" t="s">
        <v>14</v>
      </c>
    </row>
    <row r="96" spans="8:15" x14ac:dyDescent="0.3">
      <c r="H96" s="63"/>
      <c r="I96" s="10" t="s">
        <v>24</v>
      </c>
      <c r="J96" s="4">
        <v>1</v>
      </c>
      <c r="K96" s="5">
        <f>B10</f>
        <v>29600</v>
      </c>
      <c r="L96" s="6">
        <v>0.02</v>
      </c>
      <c r="M96" s="5">
        <f>IFERROR((K96*L96)/30*15," ")</f>
        <v>296</v>
      </c>
      <c r="N96" s="5">
        <f>IF(O96="","",M96+K96)</f>
        <v>29896</v>
      </c>
      <c r="O96" s="7">
        <v>45930</v>
      </c>
    </row>
    <row r="97" spans="8:15" x14ac:dyDescent="0.3">
      <c r="H97" s="63"/>
      <c r="I97" s="10" t="s">
        <v>25</v>
      </c>
      <c r="J97" s="4">
        <v>2</v>
      </c>
      <c r="K97" s="5">
        <f>N96</f>
        <v>29896</v>
      </c>
      <c r="L97" s="6">
        <f>L96</f>
        <v>0.02</v>
      </c>
      <c r="M97" s="5">
        <f>IFERROR((K97*L97),"")</f>
        <v>597.91999999999996</v>
      </c>
      <c r="N97" s="5">
        <f t="shared" ref="N97:N99" si="34">IF(O97="","",M97+K97)</f>
        <v>30493.919999999998</v>
      </c>
      <c r="O97" s="7">
        <f t="shared" ref="O97:O99" si="35">SUM(O96+30)</f>
        <v>45960</v>
      </c>
    </row>
    <row r="98" spans="8:15" x14ac:dyDescent="0.3">
      <c r="H98" s="63"/>
      <c r="I98" s="10" t="s">
        <v>26</v>
      </c>
      <c r="J98" s="4">
        <v>3</v>
      </c>
      <c r="K98" s="5">
        <f t="shared" ref="K98:K99" si="36">N97</f>
        <v>30493.919999999998</v>
      </c>
      <c r="L98" s="6">
        <f t="shared" ref="L98:L99" si="37">L97</f>
        <v>0.02</v>
      </c>
      <c r="M98" s="5">
        <f t="shared" ref="M98:M99" si="38">IFERROR((K98*L98),"")</f>
        <v>609.87839999999994</v>
      </c>
      <c r="N98" s="5">
        <f t="shared" si="34"/>
        <v>31103.7984</v>
      </c>
      <c r="O98" s="7">
        <f t="shared" si="35"/>
        <v>45990</v>
      </c>
    </row>
    <row r="99" spans="8:15" x14ac:dyDescent="0.3">
      <c r="H99" s="63"/>
      <c r="I99" s="10" t="s">
        <v>28</v>
      </c>
      <c r="J99" s="4">
        <v>4</v>
      </c>
      <c r="K99" s="5">
        <f t="shared" si="36"/>
        <v>31103.7984</v>
      </c>
      <c r="L99" s="6">
        <f t="shared" si="37"/>
        <v>0.02</v>
      </c>
      <c r="M99" s="5">
        <f t="shared" si="38"/>
        <v>622.07596799999999</v>
      </c>
      <c r="N99" s="5">
        <f t="shared" si="34"/>
        <v>31725.874368000001</v>
      </c>
      <c r="O99" s="7">
        <f t="shared" si="35"/>
        <v>46020</v>
      </c>
    </row>
    <row r="100" spans="8:15" x14ac:dyDescent="0.3">
      <c r="H100" s="44"/>
      <c r="I100" s="10"/>
      <c r="K100" s="5"/>
      <c r="L100" s="6"/>
      <c r="M100" s="5"/>
      <c r="N100" s="5"/>
      <c r="O100" s="7"/>
    </row>
    <row r="101" spans="8:15" x14ac:dyDescent="0.3">
      <c r="H101" s="44"/>
      <c r="I101" s="10"/>
      <c r="K101" s="5"/>
      <c r="L101" s="6"/>
      <c r="M101" s="5"/>
      <c r="N101" s="5"/>
      <c r="O101" s="7"/>
    </row>
    <row r="102" spans="8:15" x14ac:dyDescent="0.3">
      <c r="H102" s="44"/>
      <c r="I102" s="10"/>
      <c r="K102" s="5"/>
      <c r="L102" s="6"/>
      <c r="M102" s="5"/>
      <c r="N102" s="5"/>
      <c r="O102" s="7"/>
    </row>
    <row r="103" spans="8:15" x14ac:dyDescent="0.3">
      <c r="H103" s="11" t="str">
        <f>A32</f>
        <v>FLÁVIA</v>
      </c>
      <c r="I103" s="11" t="s">
        <v>31</v>
      </c>
      <c r="J103" s="11"/>
      <c r="K103" s="11"/>
      <c r="L103" s="11"/>
      <c r="M103" s="11"/>
      <c r="N103" s="12">
        <f>N99</f>
        <v>31725.874368000001</v>
      </c>
      <c r="O103" s="8"/>
    </row>
  </sheetData>
  <autoFilter ref="I2:R30" xr:uid="{63EAB129-8E40-40AC-BF52-F9AB7D70C272}">
    <filterColumn colId="6">
      <customFilters>
        <customFilter operator="notEqual" val=" "/>
      </customFilters>
    </filterColumn>
  </autoFilter>
  <mergeCells count="6">
    <mergeCell ref="A60:B60"/>
    <mergeCell ref="H2:H12"/>
    <mergeCell ref="H95:H99"/>
    <mergeCell ref="H33:H45"/>
    <mergeCell ref="H61:H73"/>
    <mergeCell ref="H80:H84"/>
  </mergeCells>
  <phoneticPr fontId="2" type="noConversion"/>
  <hyperlinks>
    <hyperlink ref="A1" location="'RESUMO GERAL'!A1" display="RACIONAL EMPRESTIMOS E INVESTIMENTO" xr:uid="{F8438A4D-1692-4392-A2D9-3ADF25CF44F6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33573-7D6B-495D-B881-966C3B3D2A51}">
  <dimension ref="A1:N45"/>
  <sheetViews>
    <sheetView zoomScale="85" zoomScaleNormal="85" workbookViewId="0">
      <selection activeCell="C21" sqref="C21:C25"/>
    </sheetView>
  </sheetViews>
  <sheetFormatPr defaultRowHeight="14.4" x14ac:dyDescent="0.3"/>
  <cols>
    <col min="1" max="1" width="27.77734375" bestFit="1" customWidth="1"/>
    <col min="2" max="2" width="15.6640625" bestFit="1" customWidth="1"/>
    <col min="3" max="3" width="18.88671875" bestFit="1" customWidth="1"/>
    <col min="4" max="4" width="10.44140625" bestFit="1" customWidth="1"/>
    <col min="5" max="5" width="25.77734375" bestFit="1" customWidth="1"/>
    <col min="7" max="7" width="23.77734375" bestFit="1" customWidth="1"/>
    <col min="8" max="8" width="10" bestFit="1" customWidth="1"/>
    <col min="9" max="9" width="8.88671875" style="4"/>
    <col min="10" max="10" width="12" bestFit="1" customWidth="1"/>
    <col min="11" max="11" width="5.44140625" bestFit="1" customWidth="1"/>
    <col min="12" max="12" width="11" bestFit="1" customWidth="1"/>
    <col min="13" max="13" width="11.77734375" customWidth="1"/>
    <col min="14" max="14" width="10.88671875" bestFit="1" customWidth="1"/>
  </cols>
  <sheetData>
    <row r="1" spans="1:14" x14ac:dyDescent="0.3">
      <c r="A1" s="41" t="s">
        <v>68</v>
      </c>
    </row>
    <row r="2" spans="1:14" x14ac:dyDescent="0.3">
      <c r="G2" s="63" t="s">
        <v>30</v>
      </c>
      <c r="H2" s="8" t="s">
        <v>16</v>
      </c>
      <c r="I2" s="9" t="s">
        <v>11</v>
      </c>
      <c r="J2" s="9" t="s">
        <v>10</v>
      </c>
      <c r="K2" s="9" t="s">
        <v>12</v>
      </c>
      <c r="L2" s="9" t="s">
        <v>27</v>
      </c>
      <c r="M2" s="9" t="s">
        <v>13</v>
      </c>
      <c r="N2" s="9" t="s">
        <v>14</v>
      </c>
    </row>
    <row r="3" spans="1:14" x14ac:dyDescent="0.3">
      <c r="A3" s="1" t="s">
        <v>1</v>
      </c>
      <c r="B3" s="1" t="s">
        <v>2</v>
      </c>
      <c r="C3" s="1" t="s">
        <v>60</v>
      </c>
      <c r="D3" s="1" t="s">
        <v>59</v>
      </c>
      <c r="E3" s="1" t="s">
        <v>4</v>
      </c>
      <c r="G3" s="63"/>
      <c r="H3" s="22">
        <v>45931</v>
      </c>
      <c r="I3" s="4">
        <v>1</v>
      </c>
      <c r="J3" s="5">
        <f>B4</f>
        <v>40000</v>
      </c>
      <c r="K3" s="6">
        <v>0.01</v>
      </c>
      <c r="L3" s="5">
        <f>IFERROR((J3*K3)/30*15," ")</f>
        <v>200</v>
      </c>
      <c r="M3" s="5">
        <f>IF(N3="","",L3+J3)</f>
        <v>40200</v>
      </c>
      <c r="N3" s="7">
        <v>45595</v>
      </c>
    </row>
    <row r="4" spans="1:14" x14ac:dyDescent="0.3">
      <c r="A4" s="2" t="s">
        <v>56</v>
      </c>
      <c r="B4" s="3">
        <v>40000</v>
      </c>
      <c r="C4" s="2" t="s">
        <v>52</v>
      </c>
      <c r="D4" s="24">
        <v>45931</v>
      </c>
      <c r="E4" s="2" t="s">
        <v>43</v>
      </c>
      <c r="G4" s="63"/>
      <c r="H4" s="22">
        <v>45962</v>
      </c>
      <c r="I4" s="4">
        <v>2</v>
      </c>
      <c r="J4" s="5">
        <f>M3</f>
        <v>40200</v>
      </c>
      <c r="K4" s="6">
        <v>0.01</v>
      </c>
      <c r="L4" s="5">
        <f>IFERROR((J4*K4),"")</f>
        <v>402</v>
      </c>
      <c r="M4" s="5">
        <f t="shared" ref="M4:M8" si="0">IF(N4="","",L4+J4)</f>
        <v>40602</v>
      </c>
      <c r="N4" s="7">
        <f t="shared" ref="N4:N17" si="1">SUM(N3+30)</f>
        <v>45625</v>
      </c>
    </row>
    <row r="5" spans="1:14" x14ac:dyDescent="0.3">
      <c r="A5" s="2" t="s">
        <v>57</v>
      </c>
      <c r="B5" s="3">
        <v>30801</v>
      </c>
      <c r="C5" s="2" t="s">
        <v>49</v>
      </c>
      <c r="D5" s="24">
        <v>45870</v>
      </c>
      <c r="E5" s="2" t="s">
        <v>47</v>
      </c>
      <c r="G5" s="63"/>
      <c r="H5" s="22">
        <v>45992</v>
      </c>
      <c r="I5" s="4">
        <v>3</v>
      </c>
      <c r="J5" s="5">
        <f t="shared" ref="J5:J8" si="2">M4</f>
        <v>40602</v>
      </c>
      <c r="K5" s="6">
        <v>0.01</v>
      </c>
      <c r="L5" s="5">
        <f t="shared" ref="L5:L8" si="3">IFERROR((J5*K5),"")</f>
        <v>406.02</v>
      </c>
      <c r="M5" s="5">
        <f t="shared" si="0"/>
        <v>41008.019999999997</v>
      </c>
      <c r="N5" s="7">
        <f t="shared" si="1"/>
        <v>45655</v>
      </c>
    </row>
    <row r="6" spans="1:14" x14ac:dyDescent="0.3">
      <c r="A6" s="2" t="s">
        <v>58</v>
      </c>
      <c r="B6" s="3">
        <v>15400</v>
      </c>
      <c r="C6" s="2" t="s">
        <v>53</v>
      </c>
      <c r="D6" s="24">
        <v>45870</v>
      </c>
      <c r="E6" s="2"/>
      <c r="G6" s="63"/>
      <c r="H6" s="22">
        <v>46023</v>
      </c>
      <c r="I6" s="4">
        <v>4</v>
      </c>
      <c r="J6" s="5">
        <f t="shared" si="2"/>
        <v>41008.019999999997</v>
      </c>
      <c r="K6" s="6">
        <v>0.01</v>
      </c>
      <c r="L6" s="5">
        <f t="shared" si="3"/>
        <v>410.08019999999999</v>
      </c>
      <c r="M6" s="5">
        <f t="shared" si="0"/>
        <v>41418.100199999993</v>
      </c>
      <c r="N6" s="7">
        <f t="shared" si="1"/>
        <v>45685</v>
      </c>
    </row>
    <row r="7" spans="1:14" x14ac:dyDescent="0.3">
      <c r="A7" s="2" t="s">
        <v>57</v>
      </c>
      <c r="B7" s="3">
        <v>28425.5</v>
      </c>
      <c r="C7" s="2" t="s">
        <v>49</v>
      </c>
      <c r="D7" s="24">
        <v>45901</v>
      </c>
      <c r="E7" s="2"/>
      <c r="G7" s="63"/>
      <c r="H7" s="22">
        <v>46054</v>
      </c>
      <c r="I7" s="4">
        <v>5</v>
      </c>
      <c r="J7" s="5">
        <f t="shared" si="2"/>
        <v>41418.100199999993</v>
      </c>
      <c r="K7" s="6">
        <v>0.01</v>
      </c>
      <c r="L7" s="5">
        <f t="shared" si="3"/>
        <v>414.18100199999992</v>
      </c>
      <c r="M7" s="5">
        <f t="shared" si="0"/>
        <v>41832.281201999991</v>
      </c>
      <c r="N7" s="7">
        <f t="shared" si="1"/>
        <v>45715</v>
      </c>
    </row>
    <row r="8" spans="1:14" x14ac:dyDescent="0.3">
      <c r="A8" s="19" t="s">
        <v>56</v>
      </c>
      <c r="B8" s="5">
        <v>10000</v>
      </c>
      <c r="C8" s="19" t="s">
        <v>65</v>
      </c>
      <c r="D8" s="28"/>
      <c r="G8" s="63"/>
      <c r="H8" s="22">
        <v>46082</v>
      </c>
      <c r="I8" s="4">
        <v>6</v>
      </c>
      <c r="J8" s="5">
        <f t="shared" si="2"/>
        <v>41832.281201999991</v>
      </c>
      <c r="K8" s="6">
        <v>0.01</v>
      </c>
      <c r="L8" s="5">
        <f t="shared" si="3"/>
        <v>418.3228120199999</v>
      </c>
      <c r="M8" s="5">
        <f t="shared" si="0"/>
        <v>42250.604014019991</v>
      </c>
      <c r="N8" s="7">
        <f t="shared" si="1"/>
        <v>45745</v>
      </c>
    </row>
    <row r="9" spans="1:14" x14ac:dyDescent="0.3">
      <c r="A9" s="8" t="s">
        <v>31</v>
      </c>
      <c r="B9" s="12">
        <f>SUM(B4:B5)+B7</f>
        <v>99226.5</v>
      </c>
      <c r="C9" s="8"/>
      <c r="D9" s="8"/>
      <c r="E9" s="8"/>
      <c r="G9" s="63"/>
      <c r="H9" s="22">
        <v>46113</v>
      </c>
      <c r="I9" s="4">
        <v>7</v>
      </c>
      <c r="J9" s="5">
        <f t="shared" ref="J9:J17" si="4">M8</f>
        <v>42250.604014019991</v>
      </c>
      <c r="K9" s="6">
        <v>0.01</v>
      </c>
      <c r="L9" s="5">
        <f t="shared" ref="L9:L17" si="5">IFERROR((J9*K9),"")</f>
        <v>422.5060401401999</v>
      </c>
      <c r="M9" s="5">
        <f t="shared" ref="M9:M17" si="6">IF(N9="","",L9+J9)</f>
        <v>42673.110054160192</v>
      </c>
      <c r="N9" s="7">
        <f t="shared" si="1"/>
        <v>45775</v>
      </c>
    </row>
    <row r="10" spans="1:14" x14ac:dyDescent="0.3">
      <c r="G10" s="63"/>
      <c r="H10" s="22">
        <v>46143</v>
      </c>
      <c r="I10" s="4">
        <v>8</v>
      </c>
      <c r="J10" s="5">
        <f t="shared" si="4"/>
        <v>42673.110054160192</v>
      </c>
      <c r="K10" s="6">
        <v>0.01</v>
      </c>
      <c r="L10" s="5">
        <f t="shared" si="5"/>
        <v>426.7311005416019</v>
      </c>
      <c r="M10" s="5">
        <f t="shared" si="6"/>
        <v>43099.841154701797</v>
      </c>
      <c r="N10" s="7">
        <f t="shared" si="1"/>
        <v>45805</v>
      </c>
    </row>
    <row r="11" spans="1:14" x14ac:dyDescent="0.3">
      <c r="G11" s="63"/>
      <c r="H11" s="22">
        <v>46174</v>
      </c>
      <c r="I11" s="4">
        <v>9</v>
      </c>
      <c r="J11" s="5">
        <f t="shared" si="4"/>
        <v>43099.841154701797</v>
      </c>
      <c r="K11" s="6">
        <v>0.01</v>
      </c>
      <c r="L11" s="5">
        <f t="shared" si="5"/>
        <v>430.99841154701795</v>
      </c>
      <c r="M11" s="5">
        <f t="shared" si="6"/>
        <v>43530.839566248818</v>
      </c>
      <c r="N11" s="7">
        <f t="shared" si="1"/>
        <v>45835</v>
      </c>
    </row>
    <row r="12" spans="1:14" x14ac:dyDescent="0.3">
      <c r="A12" s="1" t="s">
        <v>1</v>
      </c>
      <c r="B12" s="1" t="s">
        <v>32</v>
      </c>
      <c r="G12" s="63"/>
      <c r="H12" s="22">
        <v>46204</v>
      </c>
      <c r="I12" s="4">
        <v>10</v>
      </c>
      <c r="J12" s="5">
        <f t="shared" si="4"/>
        <v>43530.839566248818</v>
      </c>
      <c r="K12" s="6">
        <v>0.01</v>
      </c>
      <c r="L12" s="5">
        <f t="shared" si="5"/>
        <v>435.30839566248818</v>
      </c>
      <c r="M12" s="5">
        <f t="shared" si="6"/>
        <v>43966.147961911309</v>
      </c>
      <c r="N12" s="7">
        <f t="shared" si="1"/>
        <v>45865</v>
      </c>
    </row>
    <row r="13" spans="1:14" x14ac:dyDescent="0.3">
      <c r="A13" s="2" t="str">
        <f>A4</f>
        <v>PETRICK PESSOAL</v>
      </c>
      <c r="B13" s="13">
        <f>SUMIF(G:G,A13,M:M)</f>
        <v>75698.210001844956</v>
      </c>
      <c r="G13" s="63"/>
      <c r="H13" s="22">
        <v>46235</v>
      </c>
      <c r="I13" s="4">
        <v>11</v>
      </c>
      <c r="J13" s="5">
        <f t="shared" si="4"/>
        <v>43966.147961911309</v>
      </c>
      <c r="K13" s="6">
        <v>0.01</v>
      </c>
      <c r="L13" s="5">
        <f t="shared" si="5"/>
        <v>439.66147961911309</v>
      </c>
      <c r="M13" s="5">
        <f t="shared" si="6"/>
        <v>44405.809441530422</v>
      </c>
      <c r="N13" s="7">
        <f t="shared" si="1"/>
        <v>45895</v>
      </c>
    </row>
    <row r="14" spans="1:14" x14ac:dyDescent="0.3">
      <c r="A14" s="2" t="str">
        <f>A5</f>
        <v>PETRICK (MÃE)</v>
      </c>
      <c r="B14" s="13">
        <f>SUMIF(G:G,A14,M:M)</f>
        <v>32449.499175587815</v>
      </c>
      <c r="G14" s="63"/>
      <c r="H14" s="22">
        <v>46266</v>
      </c>
      <c r="I14" s="4">
        <v>12</v>
      </c>
      <c r="J14" s="5">
        <f t="shared" si="4"/>
        <v>44405.809441530422</v>
      </c>
      <c r="K14" s="6">
        <v>0.01</v>
      </c>
      <c r="L14" s="5">
        <f t="shared" si="5"/>
        <v>444.05809441530425</v>
      </c>
      <c r="M14" s="5">
        <f t="shared" si="6"/>
        <v>44849.867535945727</v>
      </c>
      <c r="N14" s="7">
        <f t="shared" si="1"/>
        <v>45925</v>
      </c>
    </row>
    <row r="15" spans="1:14" x14ac:dyDescent="0.3">
      <c r="A15" s="2" t="s">
        <v>7</v>
      </c>
      <c r="B15" s="13">
        <f>SUMIF(G:G,A15,M:M)</f>
        <v>0</v>
      </c>
      <c r="G15" s="63"/>
      <c r="H15" s="22">
        <v>46296</v>
      </c>
      <c r="I15" s="4">
        <v>13</v>
      </c>
      <c r="J15" s="5">
        <f t="shared" si="4"/>
        <v>44849.867535945727</v>
      </c>
      <c r="K15" s="6">
        <v>0.01</v>
      </c>
      <c r="L15" s="5">
        <f t="shared" si="5"/>
        <v>448.49867535945725</v>
      </c>
      <c r="M15" s="5">
        <f t="shared" si="6"/>
        <v>45298.366211305183</v>
      </c>
      <c r="N15" s="7">
        <f t="shared" si="1"/>
        <v>45955</v>
      </c>
    </row>
    <row r="16" spans="1:14" x14ac:dyDescent="0.3">
      <c r="A16" s="2" t="s">
        <v>40</v>
      </c>
      <c r="B16" s="13">
        <f>SUMIF(G:G,A16,M:M)</f>
        <v>0</v>
      </c>
      <c r="G16" s="63"/>
      <c r="H16" s="22">
        <v>46327</v>
      </c>
      <c r="I16" s="4">
        <v>14</v>
      </c>
      <c r="J16" s="5">
        <f t="shared" si="4"/>
        <v>45298.366211305183</v>
      </c>
      <c r="K16" s="6">
        <v>0.01</v>
      </c>
      <c r="L16" s="5">
        <f t="shared" si="5"/>
        <v>452.98366211305182</v>
      </c>
      <c r="M16" s="5">
        <f t="shared" si="6"/>
        <v>45751.349873418236</v>
      </c>
      <c r="N16" s="7">
        <f t="shared" si="1"/>
        <v>45985</v>
      </c>
    </row>
    <row r="17" spans="1:14" x14ac:dyDescent="0.3">
      <c r="A17" s="14" t="s">
        <v>34</v>
      </c>
      <c r="B17" s="15">
        <f>SUM(B13:B16)</f>
        <v>108147.70917743277</v>
      </c>
      <c r="G17" s="63"/>
      <c r="H17" s="22">
        <v>46357</v>
      </c>
      <c r="I17" s="4">
        <v>15</v>
      </c>
      <c r="J17" s="5">
        <f t="shared" si="4"/>
        <v>45751.349873418236</v>
      </c>
      <c r="K17" s="6">
        <v>0.01</v>
      </c>
      <c r="L17" s="5">
        <f t="shared" si="5"/>
        <v>457.51349873418235</v>
      </c>
      <c r="M17" s="5">
        <f t="shared" si="6"/>
        <v>46208.863372152417</v>
      </c>
      <c r="N17" s="7">
        <f t="shared" si="1"/>
        <v>46015</v>
      </c>
    </row>
    <row r="18" spans="1:14" x14ac:dyDescent="0.3">
      <c r="A18" s="8"/>
      <c r="B18" s="47"/>
      <c r="G18" s="44"/>
      <c r="H18" s="22"/>
      <c r="J18" s="5"/>
      <c r="K18" s="6"/>
      <c r="L18" s="5"/>
      <c r="M18" s="5"/>
      <c r="N18" s="7"/>
    </row>
    <row r="19" spans="1:14" x14ac:dyDescent="0.3">
      <c r="A19" s="8"/>
      <c r="B19" s="47"/>
      <c r="G19" s="44"/>
      <c r="H19" s="22"/>
      <c r="J19" s="5"/>
      <c r="K19" s="6"/>
      <c r="L19" s="5"/>
      <c r="M19" s="5"/>
      <c r="N19" s="7"/>
    </row>
    <row r="20" spans="1:14" x14ac:dyDescent="0.3">
      <c r="A20" s="8"/>
      <c r="B20" s="47"/>
      <c r="G20" s="44"/>
      <c r="H20" s="22"/>
      <c r="J20" s="5"/>
      <c r="K20" s="6"/>
      <c r="L20" s="5"/>
      <c r="M20" s="5"/>
      <c r="N20" s="7"/>
    </row>
    <row r="21" spans="1:14" x14ac:dyDescent="0.3">
      <c r="A21" s="8"/>
      <c r="B21" s="47"/>
      <c r="G21" s="44"/>
      <c r="H21" s="22"/>
      <c r="J21" s="5"/>
      <c r="K21" s="6"/>
      <c r="L21" s="5"/>
      <c r="M21" s="5"/>
      <c r="N21" s="7"/>
    </row>
    <row r="22" spans="1:14" x14ac:dyDescent="0.3">
      <c r="G22" s="11" t="str">
        <f>A4</f>
        <v>PETRICK PESSOAL</v>
      </c>
      <c r="H22" s="11" t="s">
        <v>31</v>
      </c>
      <c r="I22" s="11"/>
      <c r="J22" s="11"/>
      <c r="K22" s="11"/>
      <c r="L22" s="11"/>
      <c r="M22" s="12">
        <f>LARGE(M3:M16,1)</f>
        <v>45751.349873418236</v>
      </c>
      <c r="N22" s="8"/>
    </row>
    <row r="25" spans="1:14" x14ac:dyDescent="0.3">
      <c r="G25" s="21" t="s">
        <v>30</v>
      </c>
      <c r="H25" s="8" t="s">
        <v>16</v>
      </c>
      <c r="I25" s="9" t="s">
        <v>11</v>
      </c>
      <c r="J25" s="9" t="s">
        <v>10</v>
      </c>
      <c r="K25" s="9" t="s">
        <v>12</v>
      </c>
      <c r="L25" s="9" t="s">
        <v>27</v>
      </c>
      <c r="M25" s="9" t="s">
        <v>13</v>
      </c>
      <c r="N25" s="9" t="s">
        <v>14</v>
      </c>
    </row>
    <row r="26" spans="1:14" x14ac:dyDescent="0.3">
      <c r="G26" s="23"/>
      <c r="H26" s="22">
        <v>45870</v>
      </c>
      <c r="I26" s="4">
        <v>1</v>
      </c>
      <c r="J26" s="5">
        <f>B5</f>
        <v>30801</v>
      </c>
      <c r="K26" s="31">
        <v>1.4999999999999999E-2</v>
      </c>
      <c r="L26" s="5">
        <f>IFERROR((J26*K26)/30*15," ")</f>
        <v>231.00749999999999</v>
      </c>
      <c r="M26" s="5">
        <f>IF(N26="","",L26+J26)</f>
        <v>31032.0075</v>
      </c>
      <c r="N26" s="7">
        <v>45899</v>
      </c>
    </row>
    <row r="27" spans="1:14" x14ac:dyDescent="0.3">
      <c r="G27" s="23"/>
      <c r="H27" s="22">
        <v>45901</v>
      </c>
      <c r="I27" s="4">
        <v>2</v>
      </c>
      <c r="J27" s="5">
        <f>M26</f>
        <v>31032.0075</v>
      </c>
      <c r="K27" s="31">
        <f>K26</f>
        <v>1.4999999999999999E-2</v>
      </c>
      <c r="L27" s="5">
        <f>IFERROR((J27*K27),"")</f>
        <v>465.48011249999996</v>
      </c>
      <c r="M27" s="5">
        <f t="shared" ref="M27:M29" si="7">IF(N27="","",L27+J27)</f>
        <v>31497.487612500001</v>
      </c>
      <c r="N27" s="7">
        <f t="shared" ref="N27:N30" si="8">SUM(N26+30)</f>
        <v>45929</v>
      </c>
    </row>
    <row r="28" spans="1:14" x14ac:dyDescent="0.3">
      <c r="G28" s="23"/>
      <c r="H28" s="22">
        <v>45931</v>
      </c>
      <c r="I28" s="4">
        <v>3</v>
      </c>
      <c r="J28" s="5">
        <f t="shared" ref="J28:J29" si="9">M27</f>
        <v>31497.487612500001</v>
      </c>
      <c r="K28" s="31">
        <f t="shared" ref="K28:K30" si="10">K27</f>
        <v>1.4999999999999999E-2</v>
      </c>
      <c r="L28" s="5">
        <f t="shared" ref="L28:L29" si="11">IFERROR((J28*K28),"")</f>
        <v>472.4623141875</v>
      </c>
      <c r="M28" s="5">
        <f t="shared" si="7"/>
        <v>31969.949926687503</v>
      </c>
      <c r="N28" s="7">
        <f t="shared" si="8"/>
        <v>45959</v>
      </c>
    </row>
    <row r="29" spans="1:14" x14ac:dyDescent="0.3">
      <c r="G29" s="23"/>
      <c r="H29" s="22">
        <v>45962</v>
      </c>
      <c r="I29" s="4">
        <v>4</v>
      </c>
      <c r="J29" s="5">
        <f t="shared" si="9"/>
        <v>31969.949926687503</v>
      </c>
      <c r="K29" s="31">
        <f t="shared" si="10"/>
        <v>1.4999999999999999E-2</v>
      </c>
      <c r="L29" s="5">
        <f t="shared" si="11"/>
        <v>479.54924890031253</v>
      </c>
      <c r="M29" s="5">
        <f t="shared" si="7"/>
        <v>32449.499175587815</v>
      </c>
      <c r="N29" s="7">
        <f t="shared" si="8"/>
        <v>45989</v>
      </c>
    </row>
    <row r="30" spans="1:14" x14ac:dyDescent="0.3">
      <c r="G30" s="23"/>
      <c r="H30" s="22">
        <v>45992</v>
      </c>
      <c r="I30" s="4">
        <v>5</v>
      </c>
      <c r="J30" s="5">
        <f t="shared" ref="J30" si="12">M29</f>
        <v>32449.499175587815</v>
      </c>
      <c r="K30" s="31">
        <f t="shared" si="10"/>
        <v>1.4999999999999999E-2</v>
      </c>
      <c r="L30" s="5">
        <f t="shared" ref="L30" si="13">IFERROR((J30*K30),"")</f>
        <v>486.74248763381718</v>
      </c>
      <c r="M30" s="5">
        <f t="shared" ref="M30" si="14">IF(N30="","",L30+J30)</f>
        <v>32936.241663221634</v>
      </c>
      <c r="N30" s="7">
        <f t="shared" si="8"/>
        <v>46019</v>
      </c>
    </row>
    <row r="31" spans="1:14" x14ac:dyDescent="0.3">
      <c r="G31" s="23"/>
      <c r="H31" s="22"/>
      <c r="J31" s="5"/>
      <c r="K31" s="31"/>
      <c r="L31" s="5"/>
      <c r="M31" s="5"/>
      <c r="N31" s="7"/>
    </row>
    <row r="32" spans="1:14" x14ac:dyDescent="0.3">
      <c r="G32" s="23"/>
      <c r="H32" s="22"/>
      <c r="J32" s="5"/>
      <c r="K32" s="31"/>
      <c r="L32" s="5"/>
      <c r="M32" s="5"/>
      <c r="N32" s="7"/>
    </row>
    <row r="33" spans="7:14" x14ac:dyDescent="0.3">
      <c r="G33" s="23"/>
      <c r="H33" s="22"/>
      <c r="J33" s="5"/>
      <c r="K33" s="31"/>
      <c r="L33" s="5"/>
      <c r="M33" s="5"/>
      <c r="N33" s="7"/>
    </row>
    <row r="34" spans="7:14" x14ac:dyDescent="0.3">
      <c r="G34" s="11" t="str">
        <f>A14</f>
        <v>PETRICK (MÃE)</v>
      </c>
      <c r="H34" s="11" t="s">
        <v>31</v>
      </c>
      <c r="I34" s="11"/>
      <c r="J34" s="11"/>
      <c r="K34" s="11"/>
      <c r="L34" s="11"/>
      <c r="M34" s="12">
        <f>LARGE(M28:M29,1)</f>
        <v>32449.499175587815</v>
      </c>
      <c r="N34" s="8"/>
    </row>
    <row r="36" spans="7:14" x14ac:dyDescent="0.3">
      <c r="G36" s="21" t="s">
        <v>30</v>
      </c>
      <c r="H36" s="8" t="s">
        <v>16</v>
      </c>
      <c r="I36" s="9" t="s">
        <v>11</v>
      </c>
      <c r="J36" s="9" t="s">
        <v>10</v>
      </c>
      <c r="K36" s="9" t="s">
        <v>12</v>
      </c>
      <c r="L36" s="9" t="s">
        <v>27</v>
      </c>
      <c r="M36" s="9" t="s">
        <v>13</v>
      </c>
      <c r="N36" s="9" t="s">
        <v>14</v>
      </c>
    </row>
    <row r="37" spans="7:14" x14ac:dyDescent="0.3">
      <c r="G37" s="23"/>
      <c r="H37" s="22">
        <v>45901</v>
      </c>
      <c r="I37" s="4">
        <v>1</v>
      </c>
      <c r="J37" s="5">
        <f>B7</f>
        <v>28425.5</v>
      </c>
      <c r="K37" s="31">
        <v>1.4999999999999999E-2</v>
      </c>
      <c r="L37" s="5">
        <f>IFERROR((J37*K37)/30*15," ")</f>
        <v>213.19125</v>
      </c>
      <c r="M37" s="5">
        <f>IF(N37="","",L37+J37)</f>
        <v>28638.69125</v>
      </c>
      <c r="N37" s="7">
        <v>45930</v>
      </c>
    </row>
    <row r="38" spans="7:14" x14ac:dyDescent="0.3">
      <c r="G38" s="23"/>
      <c r="H38" s="22">
        <v>45931</v>
      </c>
      <c r="I38" s="4">
        <v>2</v>
      </c>
      <c r="J38" s="5">
        <f>M37</f>
        <v>28638.69125</v>
      </c>
      <c r="K38" s="31">
        <f>K37</f>
        <v>1.4999999999999999E-2</v>
      </c>
      <c r="L38" s="5">
        <f>IFERROR((J38*K38),"")</f>
        <v>429.58036874999999</v>
      </c>
      <c r="M38" s="5">
        <f t="shared" ref="M38:M41" si="15">IF(N38="","",L38+J38)</f>
        <v>29068.271618750001</v>
      </c>
      <c r="N38" s="7">
        <f>SUM(N37+30)</f>
        <v>45960</v>
      </c>
    </row>
    <row r="39" spans="7:14" x14ac:dyDescent="0.3">
      <c r="G39" s="23"/>
      <c r="H39" s="22">
        <v>45962</v>
      </c>
      <c r="I39" s="4">
        <v>3</v>
      </c>
      <c r="J39" s="5">
        <f t="shared" ref="J39:J41" si="16">M38</f>
        <v>29068.271618750001</v>
      </c>
      <c r="K39" s="31">
        <f t="shared" ref="K39:K41" si="17">K38</f>
        <v>1.4999999999999999E-2</v>
      </c>
      <c r="L39" s="5">
        <f t="shared" ref="L39:L41" si="18">IFERROR((J39*K39),"")</f>
        <v>436.02407428125002</v>
      </c>
      <c r="M39" s="5">
        <f t="shared" si="15"/>
        <v>29504.29569303125</v>
      </c>
      <c r="N39" s="7">
        <f t="shared" ref="N39:N41" si="19">SUM(N38+30)</f>
        <v>45990</v>
      </c>
    </row>
    <row r="40" spans="7:14" x14ac:dyDescent="0.3">
      <c r="G40" s="23"/>
      <c r="H40" s="22">
        <v>45992</v>
      </c>
      <c r="I40" s="4">
        <v>4</v>
      </c>
      <c r="J40" s="5">
        <f t="shared" si="16"/>
        <v>29504.29569303125</v>
      </c>
      <c r="K40" s="31">
        <f t="shared" si="17"/>
        <v>1.4999999999999999E-2</v>
      </c>
      <c r="L40" s="5">
        <f t="shared" si="18"/>
        <v>442.56443539546876</v>
      </c>
      <c r="M40" s="5">
        <f t="shared" si="15"/>
        <v>29946.860128426721</v>
      </c>
      <c r="N40" s="7">
        <f t="shared" si="19"/>
        <v>46020</v>
      </c>
    </row>
    <row r="41" spans="7:14" x14ac:dyDescent="0.3">
      <c r="G41" s="23"/>
      <c r="H41" s="22">
        <v>46023</v>
      </c>
      <c r="I41" s="4">
        <v>5</v>
      </c>
      <c r="J41" s="5">
        <f t="shared" si="16"/>
        <v>29946.860128426721</v>
      </c>
      <c r="K41" s="31">
        <f t="shared" si="17"/>
        <v>1.4999999999999999E-2</v>
      </c>
      <c r="L41" s="5">
        <f t="shared" si="18"/>
        <v>449.20290192640078</v>
      </c>
      <c r="M41" s="5">
        <f t="shared" si="15"/>
        <v>30396.063030353122</v>
      </c>
      <c r="N41" s="7">
        <f t="shared" si="19"/>
        <v>46050</v>
      </c>
    </row>
    <row r="42" spans="7:14" x14ac:dyDescent="0.3">
      <c r="G42" s="23"/>
      <c r="H42" s="22"/>
      <c r="J42" s="5"/>
      <c r="K42" s="31"/>
      <c r="L42" s="5"/>
      <c r="M42" s="5"/>
      <c r="N42" s="7"/>
    </row>
    <row r="43" spans="7:14" x14ac:dyDescent="0.3">
      <c r="G43" s="23"/>
      <c r="H43" s="22"/>
      <c r="J43" s="5"/>
      <c r="K43" s="31"/>
      <c r="L43" s="5"/>
      <c r="M43" s="5"/>
      <c r="N43" s="7"/>
    </row>
    <row r="44" spans="7:14" x14ac:dyDescent="0.3">
      <c r="G44" s="23"/>
      <c r="H44" s="22"/>
      <c r="J44" s="5"/>
      <c r="K44" s="31"/>
      <c r="L44" s="5"/>
      <c r="M44" s="5"/>
      <c r="N44" s="7"/>
    </row>
    <row r="45" spans="7:14" x14ac:dyDescent="0.3">
      <c r="G45" s="11" t="str">
        <f>A13</f>
        <v>PETRICK PESSOAL</v>
      </c>
      <c r="H45" s="11" t="s">
        <v>31</v>
      </c>
      <c r="I45" s="11"/>
      <c r="J45" s="11"/>
      <c r="K45" s="11"/>
      <c r="L45" s="11"/>
      <c r="M45" s="12">
        <f>LARGE(M39:M40,1)</f>
        <v>29946.860128426721</v>
      </c>
      <c r="N45" s="8"/>
    </row>
  </sheetData>
  <mergeCells count="1">
    <mergeCell ref="G2:G17"/>
  </mergeCells>
  <phoneticPr fontId="2" type="noConversion"/>
  <hyperlinks>
    <hyperlink ref="A1" location="'RESUMO GERAL'!A1" display="RACIONAL EMPRESTIMOS E INVESTIMENTO" xr:uid="{4A73021A-4F8C-4139-B5C0-CECE745E4451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37BE-808A-48A2-B327-3467BA4159C0}">
  <dimension ref="A1:N33"/>
  <sheetViews>
    <sheetView zoomScale="85" zoomScaleNormal="85" workbookViewId="0">
      <selection activeCell="I58" sqref="I58"/>
    </sheetView>
  </sheetViews>
  <sheetFormatPr defaultRowHeight="14.4" x14ac:dyDescent="0.3"/>
  <cols>
    <col min="1" max="1" width="27.77734375" bestFit="1" customWidth="1"/>
    <col min="2" max="2" width="15.6640625" bestFit="1" customWidth="1"/>
    <col min="3" max="3" width="21" bestFit="1" customWidth="1"/>
    <col min="4" max="4" width="10.44140625" bestFit="1" customWidth="1"/>
    <col min="5" max="5" width="25.77734375" bestFit="1" customWidth="1"/>
    <col min="7" max="7" width="23.77734375" bestFit="1" customWidth="1"/>
    <col min="8" max="8" width="10" bestFit="1" customWidth="1"/>
    <col min="9" max="9" width="8.88671875" style="4"/>
    <col min="10" max="10" width="12" bestFit="1" customWidth="1"/>
    <col min="11" max="11" width="5.44140625" bestFit="1" customWidth="1"/>
    <col min="12" max="12" width="11" bestFit="1" customWidth="1"/>
    <col min="13" max="13" width="11.77734375" customWidth="1"/>
    <col min="14" max="14" width="10.88671875" bestFit="1" customWidth="1"/>
  </cols>
  <sheetData>
    <row r="1" spans="1:14" x14ac:dyDescent="0.3">
      <c r="A1" s="41" t="s">
        <v>68</v>
      </c>
    </row>
    <row r="2" spans="1:14" x14ac:dyDescent="0.3">
      <c r="G2" s="63" t="s">
        <v>30</v>
      </c>
      <c r="H2" s="8" t="s">
        <v>16</v>
      </c>
      <c r="I2" s="9" t="s">
        <v>11</v>
      </c>
      <c r="J2" s="9" t="s">
        <v>10</v>
      </c>
      <c r="K2" s="9" t="s">
        <v>12</v>
      </c>
      <c r="L2" s="9" t="s">
        <v>27</v>
      </c>
      <c r="M2" s="9" t="s">
        <v>13</v>
      </c>
      <c r="N2" s="9" t="s">
        <v>14</v>
      </c>
    </row>
    <row r="3" spans="1:14" x14ac:dyDescent="0.3">
      <c r="A3" s="1" t="s">
        <v>1</v>
      </c>
      <c r="B3" s="1" t="s">
        <v>2</v>
      </c>
      <c r="C3" s="1" t="s">
        <v>60</v>
      </c>
      <c r="D3" s="1" t="s">
        <v>59</v>
      </c>
      <c r="E3" s="1" t="s">
        <v>4</v>
      </c>
      <c r="G3" s="63"/>
      <c r="H3" s="22">
        <v>45931</v>
      </c>
      <c r="I3" s="4">
        <v>1</v>
      </c>
      <c r="J3" s="5">
        <f>B4</f>
        <v>40000</v>
      </c>
      <c r="K3" s="6">
        <v>0.01</v>
      </c>
      <c r="L3" s="5">
        <f>IFERROR((J3*K3)/30*15," ")</f>
        <v>200</v>
      </c>
      <c r="M3" s="5">
        <f>IF(N3="","",L3+J3)</f>
        <v>40200</v>
      </c>
      <c r="N3" s="7">
        <v>45595</v>
      </c>
    </row>
    <row r="4" spans="1:14" x14ac:dyDescent="0.3">
      <c r="A4" s="2" t="s">
        <v>44</v>
      </c>
      <c r="B4" s="3">
        <v>40000</v>
      </c>
      <c r="C4" s="13" t="s">
        <v>52</v>
      </c>
      <c r="D4" s="24">
        <v>45931</v>
      </c>
      <c r="E4" s="2" t="s">
        <v>43</v>
      </c>
      <c r="G4" s="63"/>
      <c r="H4" s="22">
        <v>45962</v>
      </c>
      <c r="I4" s="4">
        <v>2</v>
      </c>
      <c r="J4" s="5">
        <f>M3</f>
        <v>40200</v>
      </c>
      <c r="K4" s="6">
        <v>0.01</v>
      </c>
      <c r="L4" s="5">
        <f>IFERROR((J4*K4),"")</f>
        <v>402</v>
      </c>
      <c r="M4" s="5">
        <f t="shared" ref="M4:M17" si="0">IF(N4="","",L4+J4)</f>
        <v>40602</v>
      </c>
      <c r="N4" s="7">
        <f t="shared" ref="N4:N17" si="1">SUM(N3+30)</f>
        <v>45625</v>
      </c>
    </row>
    <row r="5" spans="1:14" x14ac:dyDescent="0.3">
      <c r="A5" s="2" t="s">
        <v>45</v>
      </c>
      <c r="B5" s="3">
        <v>30801</v>
      </c>
      <c r="C5" s="13" t="s">
        <v>49</v>
      </c>
      <c r="D5" s="24">
        <v>45870</v>
      </c>
      <c r="E5" s="2" t="s">
        <v>43</v>
      </c>
      <c r="G5" s="63"/>
      <c r="H5" s="22">
        <v>45992</v>
      </c>
      <c r="I5" s="4">
        <v>3</v>
      </c>
      <c r="J5" s="5">
        <f t="shared" ref="J5:J17" si="2">M4</f>
        <v>40602</v>
      </c>
      <c r="K5" s="6">
        <v>0.01</v>
      </c>
      <c r="L5" s="5">
        <f t="shared" ref="L5:L17" si="3">IFERROR((J5*K5),"")</f>
        <v>406.02</v>
      </c>
      <c r="M5" s="5">
        <f t="shared" si="0"/>
        <v>41008.019999999997</v>
      </c>
      <c r="N5" s="7">
        <f t="shared" si="1"/>
        <v>45655</v>
      </c>
    </row>
    <row r="6" spans="1:14" x14ac:dyDescent="0.3">
      <c r="A6" s="2" t="s">
        <v>50</v>
      </c>
      <c r="B6" s="3">
        <v>15400</v>
      </c>
      <c r="C6" s="13" t="s">
        <v>51</v>
      </c>
      <c r="D6" s="24">
        <v>45870</v>
      </c>
      <c r="E6" s="2"/>
      <c r="G6" s="63"/>
      <c r="H6" s="22">
        <v>46023</v>
      </c>
      <c r="I6" s="4">
        <v>4</v>
      </c>
      <c r="J6" s="5">
        <f t="shared" si="2"/>
        <v>41008.019999999997</v>
      </c>
      <c r="K6" s="6">
        <v>0.01</v>
      </c>
      <c r="L6" s="5">
        <f t="shared" si="3"/>
        <v>410.08019999999999</v>
      </c>
      <c r="M6" s="5">
        <f t="shared" si="0"/>
        <v>41418.100199999993</v>
      </c>
      <c r="N6" s="7">
        <f t="shared" si="1"/>
        <v>45685</v>
      </c>
    </row>
    <row r="7" spans="1:14" x14ac:dyDescent="0.3">
      <c r="A7" s="2" t="s">
        <v>50</v>
      </c>
      <c r="B7" s="3">
        <v>28425.5</v>
      </c>
      <c r="C7" s="13" t="s">
        <v>49</v>
      </c>
      <c r="D7" s="24">
        <v>45901</v>
      </c>
      <c r="E7" s="2"/>
      <c r="G7" s="63"/>
      <c r="H7" s="22">
        <v>46054</v>
      </c>
      <c r="I7" s="4">
        <v>5</v>
      </c>
      <c r="J7" s="5">
        <f t="shared" si="2"/>
        <v>41418.100199999993</v>
      </c>
      <c r="K7" s="6">
        <v>0.01</v>
      </c>
      <c r="L7" s="5">
        <f t="shared" si="3"/>
        <v>414.18100199999992</v>
      </c>
      <c r="M7" s="5">
        <f t="shared" si="0"/>
        <v>41832.281201999991</v>
      </c>
      <c r="N7" s="7">
        <f t="shared" si="1"/>
        <v>45715</v>
      </c>
    </row>
    <row r="8" spans="1:14" x14ac:dyDescent="0.3">
      <c r="A8" s="8"/>
      <c r="B8" s="12">
        <f>SUM(B4:B5)+B7</f>
        <v>99226.5</v>
      </c>
      <c r="C8" s="8"/>
      <c r="D8" s="8"/>
      <c r="E8" s="8"/>
      <c r="G8" s="63"/>
      <c r="H8" s="22">
        <v>46082</v>
      </c>
      <c r="I8" s="4">
        <v>6</v>
      </c>
      <c r="J8" s="5">
        <f t="shared" si="2"/>
        <v>41832.281201999991</v>
      </c>
      <c r="K8" s="6">
        <v>0.01</v>
      </c>
      <c r="L8" s="5">
        <f t="shared" si="3"/>
        <v>418.3228120199999</v>
      </c>
      <c r="M8" s="5">
        <f t="shared" si="0"/>
        <v>42250.604014019991</v>
      </c>
      <c r="N8" s="7">
        <f t="shared" si="1"/>
        <v>45745</v>
      </c>
    </row>
    <row r="9" spans="1:14" x14ac:dyDescent="0.3">
      <c r="G9" s="63"/>
      <c r="H9" s="22">
        <v>46113</v>
      </c>
      <c r="I9" s="4">
        <v>7</v>
      </c>
      <c r="J9" s="5">
        <f t="shared" si="2"/>
        <v>42250.604014019991</v>
      </c>
      <c r="K9" s="6">
        <v>0.01</v>
      </c>
      <c r="L9" s="5">
        <f t="shared" si="3"/>
        <v>422.5060401401999</v>
      </c>
      <c r="M9" s="5">
        <f t="shared" si="0"/>
        <v>42673.110054160192</v>
      </c>
      <c r="N9" s="7">
        <f t="shared" si="1"/>
        <v>45775</v>
      </c>
    </row>
    <row r="10" spans="1:14" x14ac:dyDescent="0.3">
      <c r="G10" s="63"/>
      <c r="H10" s="22">
        <v>46143</v>
      </c>
      <c r="I10" s="4">
        <v>8</v>
      </c>
      <c r="J10" s="5">
        <f t="shared" si="2"/>
        <v>42673.110054160192</v>
      </c>
      <c r="K10" s="6">
        <v>0.01</v>
      </c>
      <c r="L10" s="5">
        <f t="shared" si="3"/>
        <v>426.7311005416019</v>
      </c>
      <c r="M10" s="5">
        <f t="shared" si="0"/>
        <v>43099.841154701797</v>
      </c>
      <c r="N10" s="7">
        <f t="shared" si="1"/>
        <v>45805</v>
      </c>
    </row>
    <row r="11" spans="1:14" x14ac:dyDescent="0.3">
      <c r="A11" s="1" t="s">
        <v>1</v>
      </c>
      <c r="B11" s="1" t="s">
        <v>32</v>
      </c>
      <c r="G11" s="63"/>
      <c r="H11" s="22">
        <v>46174</v>
      </c>
      <c r="I11" s="4">
        <v>9</v>
      </c>
      <c r="J11" s="5">
        <f t="shared" si="2"/>
        <v>43099.841154701797</v>
      </c>
      <c r="K11" s="6">
        <v>0.01</v>
      </c>
      <c r="L11" s="5">
        <f t="shared" si="3"/>
        <v>430.99841154701795</v>
      </c>
      <c r="M11" s="5">
        <f t="shared" si="0"/>
        <v>43530.839566248818</v>
      </c>
      <c r="N11" s="7">
        <f t="shared" si="1"/>
        <v>45835</v>
      </c>
    </row>
    <row r="12" spans="1:14" x14ac:dyDescent="0.3">
      <c r="A12" s="2" t="str">
        <f>A4</f>
        <v>PEIXOTO (EVENTOS)</v>
      </c>
      <c r="B12" s="13">
        <f>SUMIF(G:G,A12,M:M)</f>
        <v>45751.349873418236</v>
      </c>
      <c r="G12" s="63"/>
      <c r="H12" s="22">
        <v>46204</v>
      </c>
      <c r="I12" s="4">
        <v>10</v>
      </c>
      <c r="J12" s="5">
        <f t="shared" si="2"/>
        <v>43530.839566248818</v>
      </c>
      <c r="K12" s="6">
        <v>0.01</v>
      </c>
      <c r="L12" s="5">
        <f t="shared" si="3"/>
        <v>435.30839566248818</v>
      </c>
      <c r="M12" s="5">
        <f t="shared" si="0"/>
        <v>43966.147961911309</v>
      </c>
      <c r="N12" s="7">
        <f t="shared" si="1"/>
        <v>45865</v>
      </c>
    </row>
    <row r="13" spans="1:14" x14ac:dyDescent="0.3">
      <c r="A13" s="2" t="str">
        <f>A5</f>
        <v>PEIXOTO (MEDICAMENTOS)</v>
      </c>
      <c r="B13" s="13">
        <f>SUMIF(G:G,A13,M:M)</f>
        <v>31892.972606505005</v>
      </c>
      <c r="G13" s="63"/>
      <c r="H13" s="22">
        <v>46235</v>
      </c>
      <c r="I13" s="4">
        <v>11</v>
      </c>
      <c r="J13" s="5">
        <f t="shared" si="2"/>
        <v>43966.147961911309</v>
      </c>
      <c r="K13" s="6">
        <v>0.01</v>
      </c>
      <c r="L13" s="5">
        <f t="shared" si="3"/>
        <v>439.66147961911309</v>
      </c>
      <c r="M13" s="5">
        <f t="shared" si="0"/>
        <v>44405.809441530422</v>
      </c>
      <c r="N13" s="7">
        <f t="shared" si="1"/>
        <v>45895</v>
      </c>
    </row>
    <row r="14" spans="1:14" x14ac:dyDescent="0.3">
      <c r="A14" s="14" t="s">
        <v>34</v>
      </c>
      <c r="B14" s="15">
        <f>SUM(B12:B13)</f>
        <v>77644.322479923241</v>
      </c>
      <c r="G14" s="63"/>
      <c r="H14" s="22">
        <v>46266</v>
      </c>
      <c r="I14" s="4">
        <v>12</v>
      </c>
      <c r="J14" s="5">
        <f t="shared" si="2"/>
        <v>44405.809441530422</v>
      </c>
      <c r="K14" s="6">
        <v>0.01</v>
      </c>
      <c r="L14" s="5">
        <f t="shared" si="3"/>
        <v>444.05809441530425</v>
      </c>
      <c r="M14" s="5">
        <f t="shared" si="0"/>
        <v>44849.867535945727</v>
      </c>
      <c r="N14" s="7">
        <f t="shared" si="1"/>
        <v>45925</v>
      </c>
    </row>
    <row r="15" spans="1:14" x14ac:dyDescent="0.3">
      <c r="G15" s="63"/>
      <c r="H15" s="22">
        <v>46296</v>
      </c>
      <c r="I15" s="4">
        <v>13</v>
      </c>
      <c r="J15" s="5">
        <f t="shared" si="2"/>
        <v>44849.867535945727</v>
      </c>
      <c r="K15" s="6">
        <v>0.01</v>
      </c>
      <c r="L15" s="5">
        <f t="shared" si="3"/>
        <v>448.49867535945725</v>
      </c>
      <c r="M15" s="5">
        <f t="shared" si="0"/>
        <v>45298.366211305183</v>
      </c>
      <c r="N15" s="7">
        <f t="shared" si="1"/>
        <v>45955</v>
      </c>
    </row>
    <row r="16" spans="1:14" x14ac:dyDescent="0.3">
      <c r="G16" s="63"/>
      <c r="H16" s="22">
        <v>46327</v>
      </c>
      <c r="I16" s="4">
        <v>14</v>
      </c>
      <c r="J16" s="5">
        <f t="shared" si="2"/>
        <v>45298.366211305183</v>
      </c>
      <c r="K16" s="6">
        <v>0.01</v>
      </c>
      <c r="L16" s="5">
        <f t="shared" si="3"/>
        <v>452.98366211305182</v>
      </c>
      <c r="M16" s="5">
        <f t="shared" si="0"/>
        <v>45751.349873418236</v>
      </c>
      <c r="N16" s="7">
        <f t="shared" si="1"/>
        <v>45985</v>
      </c>
    </row>
    <row r="17" spans="7:14" x14ac:dyDescent="0.3">
      <c r="G17" s="63"/>
      <c r="H17" s="22">
        <v>46357</v>
      </c>
      <c r="I17" s="4">
        <v>15</v>
      </c>
      <c r="J17" s="5">
        <f t="shared" si="2"/>
        <v>45751.349873418236</v>
      </c>
      <c r="K17" s="6">
        <v>0.01</v>
      </c>
      <c r="L17" s="5">
        <f t="shared" si="3"/>
        <v>457.51349873418235</v>
      </c>
      <c r="M17" s="5">
        <f t="shared" si="0"/>
        <v>46208.863372152417</v>
      </c>
      <c r="N17" s="7">
        <f t="shared" si="1"/>
        <v>46015</v>
      </c>
    </row>
    <row r="18" spans="7:14" x14ac:dyDescent="0.3">
      <c r="G18" s="44"/>
      <c r="H18" s="22"/>
      <c r="J18" s="5"/>
      <c r="K18" s="6"/>
      <c r="L18" s="5"/>
      <c r="M18" s="5"/>
      <c r="N18" s="7"/>
    </row>
    <row r="19" spans="7:14" x14ac:dyDescent="0.3">
      <c r="G19" s="44"/>
      <c r="H19" s="22"/>
      <c r="J19" s="5"/>
      <c r="K19" s="6"/>
      <c r="L19" s="5"/>
      <c r="M19" s="5"/>
      <c r="N19" s="7"/>
    </row>
    <row r="20" spans="7:14" x14ac:dyDescent="0.3">
      <c r="G20" s="44"/>
      <c r="H20" s="22"/>
      <c r="J20" s="5"/>
      <c r="K20" s="6"/>
      <c r="L20" s="5"/>
      <c r="M20" s="5"/>
      <c r="N20" s="7"/>
    </row>
    <row r="21" spans="7:14" x14ac:dyDescent="0.3">
      <c r="G21" s="11" t="str">
        <f>A4</f>
        <v>PEIXOTO (EVENTOS)</v>
      </c>
      <c r="H21" s="11" t="s">
        <v>31</v>
      </c>
      <c r="I21" s="11"/>
      <c r="J21" s="11"/>
      <c r="K21" s="11"/>
      <c r="L21" s="11"/>
      <c r="M21" s="12">
        <f>LARGE(M3:M16,1)</f>
        <v>45751.349873418236</v>
      </c>
      <c r="N21" s="8"/>
    </row>
    <row r="24" spans="7:14" x14ac:dyDescent="0.3">
      <c r="G24" s="21" t="s">
        <v>30</v>
      </c>
      <c r="H24" s="8" t="s">
        <v>16</v>
      </c>
      <c r="I24" s="9" t="s">
        <v>11</v>
      </c>
      <c r="J24" s="9" t="s">
        <v>10</v>
      </c>
      <c r="K24" s="9" t="s">
        <v>12</v>
      </c>
      <c r="L24" s="9" t="s">
        <v>27</v>
      </c>
      <c r="M24" s="9" t="s">
        <v>13</v>
      </c>
      <c r="N24" s="9" t="s">
        <v>14</v>
      </c>
    </row>
    <row r="25" spans="7:14" x14ac:dyDescent="0.3">
      <c r="G25" s="23"/>
      <c r="H25" s="22">
        <v>45870</v>
      </c>
      <c r="I25" s="4">
        <v>1</v>
      </c>
      <c r="J25" s="5">
        <f>B5</f>
        <v>30801</v>
      </c>
      <c r="K25" s="6">
        <v>0.01</v>
      </c>
      <c r="L25" s="5">
        <f>IFERROR((J25*K25)/30*15," ")</f>
        <v>154.005</v>
      </c>
      <c r="M25" s="5">
        <f>IF(N25="","",L25+J25)</f>
        <v>30955.005000000001</v>
      </c>
      <c r="N25" s="7">
        <v>45899</v>
      </c>
    </row>
    <row r="26" spans="7:14" x14ac:dyDescent="0.3">
      <c r="G26" s="23"/>
      <c r="H26" s="22">
        <v>45901</v>
      </c>
      <c r="I26" s="4">
        <v>2</v>
      </c>
      <c r="J26" s="5">
        <f>M25</f>
        <v>30955.005000000001</v>
      </c>
      <c r="K26" s="6">
        <v>0.01</v>
      </c>
      <c r="L26" s="5">
        <f>IFERROR((J26*K26),"")</f>
        <v>309.55005</v>
      </c>
      <c r="M26" s="5">
        <f t="shared" ref="M26:M29" si="4">IF(N26="","",L26+J26)</f>
        <v>31264.555050000003</v>
      </c>
      <c r="N26" s="7">
        <f t="shared" ref="N26:N29" si="5">SUM(N25+30)</f>
        <v>45929</v>
      </c>
    </row>
    <row r="27" spans="7:14" x14ac:dyDescent="0.3">
      <c r="G27" s="23"/>
      <c r="H27" s="22">
        <v>45931</v>
      </c>
      <c r="I27" s="4">
        <v>3</v>
      </c>
      <c r="J27" s="5">
        <f t="shared" ref="J27:J29" si="6">M26</f>
        <v>31264.555050000003</v>
      </c>
      <c r="K27" s="6">
        <v>0.01</v>
      </c>
      <c r="L27" s="5">
        <f t="shared" ref="L27:L29" si="7">IFERROR((J27*K27),"")</f>
        <v>312.64555050000001</v>
      </c>
      <c r="M27" s="5">
        <f t="shared" si="4"/>
        <v>31577.200600500004</v>
      </c>
      <c r="N27" s="7">
        <f t="shared" si="5"/>
        <v>45959</v>
      </c>
    </row>
    <row r="28" spans="7:14" x14ac:dyDescent="0.3">
      <c r="G28" s="23"/>
      <c r="H28" s="22">
        <v>45962</v>
      </c>
      <c r="I28" s="4">
        <v>4</v>
      </c>
      <c r="J28" s="5">
        <f t="shared" si="6"/>
        <v>31577.200600500004</v>
      </c>
      <c r="K28" s="6">
        <v>0.01</v>
      </c>
      <c r="L28" s="5">
        <f t="shared" si="7"/>
        <v>315.77200600500004</v>
      </c>
      <c r="M28" s="5">
        <f t="shared" si="4"/>
        <v>31892.972606505005</v>
      </c>
      <c r="N28" s="7">
        <f t="shared" si="5"/>
        <v>45989</v>
      </c>
    </row>
    <row r="29" spans="7:14" x14ac:dyDescent="0.3">
      <c r="G29" s="23"/>
      <c r="H29" s="22">
        <v>45992</v>
      </c>
      <c r="I29" s="4">
        <v>5</v>
      </c>
      <c r="J29" s="5">
        <f t="shared" si="6"/>
        <v>31892.972606505005</v>
      </c>
      <c r="K29" s="6">
        <v>0.01</v>
      </c>
      <c r="L29" s="5">
        <f t="shared" si="7"/>
        <v>318.92972606505003</v>
      </c>
      <c r="M29" s="5">
        <f t="shared" si="4"/>
        <v>32211.902332570055</v>
      </c>
      <c r="N29" s="7">
        <f t="shared" si="5"/>
        <v>46019</v>
      </c>
    </row>
    <row r="30" spans="7:14" x14ac:dyDescent="0.3">
      <c r="G30" s="23"/>
      <c r="H30" s="22"/>
      <c r="J30" s="5"/>
      <c r="K30" s="6"/>
      <c r="L30" s="5"/>
      <c r="M30" s="5"/>
      <c r="N30" s="7"/>
    </row>
    <row r="31" spans="7:14" x14ac:dyDescent="0.3">
      <c r="G31" s="23"/>
      <c r="H31" s="22"/>
      <c r="J31" s="5"/>
      <c r="K31" s="6"/>
      <c r="L31" s="5"/>
      <c r="M31" s="5"/>
      <c r="N31" s="7"/>
    </row>
    <row r="32" spans="7:14" x14ac:dyDescent="0.3">
      <c r="G32" s="23"/>
      <c r="H32" s="22"/>
      <c r="J32" s="5"/>
      <c r="K32" s="6"/>
      <c r="L32" s="5"/>
      <c r="M32" s="5"/>
      <c r="N32" s="7"/>
    </row>
    <row r="33" spans="7:14" x14ac:dyDescent="0.3">
      <c r="G33" s="11" t="str">
        <f>A13</f>
        <v>PEIXOTO (MEDICAMENTOS)</v>
      </c>
      <c r="H33" s="11" t="s">
        <v>31</v>
      </c>
      <c r="I33" s="11"/>
      <c r="J33" s="11"/>
      <c r="K33" s="11"/>
      <c r="L33" s="11"/>
      <c r="M33" s="12">
        <f>LARGE(M27:M28,1)</f>
        <v>31892.972606505005</v>
      </c>
      <c r="N33" s="8"/>
    </row>
  </sheetData>
  <mergeCells count="1">
    <mergeCell ref="G2:G17"/>
  </mergeCells>
  <hyperlinks>
    <hyperlink ref="A1" location="'RESUMO GERAL'!A1" display="RACIONAL EMPRESTIMOS E INVESTIMENTO" xr:uid="{5FE4DC0D-DB6E-4974-A01B-1AF7075738DD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2699A-55C3-433A-BC6F-421E08262308}">
  <sheetPr filterMode="1"/>
  <dimension ref="A1:Q79"/>
  <sheetViews>
    <sheetView zoomScale="85" zoomScaleNormal="85" workbookViewId="0">
      <selection activeCell="A14" sqref="A14"/>
    </sheetView>
  </sheetViews>
  <sheetFormatPr defaultRowHeight="14.4" x14ac:dyDescent="0.3"/>
  <cols>
    <col min="1" max="1" width="24.44140625" bestFit="1" customWidth="1"/>
    <col min="2" max="2" width="14.88671875" bestFit="1" customWidth="1"/>
    <col min="3" max="3" width="18" bestFit="1" customWidth="1"/>
    <col min="4" max="4" width="12.33203125" bestFit="1" customWidth="1"/>
    <col min="5" max="5" width="25.77734375" bestFit="1" customWidth="1"/>
    <col min="7" max="7" width="22.77734375" bestFit="1" customWidth="1"/>
    <col min="8" max="8" width="10" style="4" bestFit="1" customWidth="1"/>
    <col min="9" max="9" width="4.5546875" bestFit="1" customWidth="1"/>
    <col min="10" max="10" width="12" bestFit="1" customWidth="1"/>
    <col min="11" max="11" width="5.44140625" bestFit="1" customWidth="1"/>
    <col min="12" max="12" width="9.44140625" bestFit="1" customWidth="1"/>
    <col min="13" max="13" width="12" bestFit="1" customWidth="1"/>
    <col min="14" max="14" width="11.88671875" bestFit="1" customWidth="1"/>
    <col min="17" max="17" width="14.6640625" bestFit="1" customWidth="1"/>
  </cols>
  <sheetData>
    <row r="1" spans="1:17" x14ac:dyDescent="0.3">
      <c r="A1" s="41" t="s">
        <v>68</v>
      </c>
    </row>
    <row r="2" spans="1:17" x14ac:dyDescent="0.3">
      <c r="G2" s="63" t="s">
        <v>30</v>
      </c>
      <c r="H2" s="8" t="s">
        <v>16</v>
      </c>
      <c r="I2" s="9" t="s">
        <v>11</v>
      </c>
      <c r="J2" s="9" t="s">
        <v>10</v>
      </c>
      <c r="K2" s="9" t="s">
        <v>12</v>
      </c>
      <c r="L2" s="9" t="s">
        <v>27</v>
      </c>
      <c r="M2" s="9" t="s">
        <v>13</v>
      </c>
      <c r="N2" s="9" t="s">
        <v>14</v>
      </c>
      <c r="Q2" s="9" t="s">
        <v>35</v>
      </c>
    </row>
    <row r="3" spans="1:17" x14ac:dyDescent="0.3">
      <c r="A3" s="1" t="s">
        <v>1</v>
      </c>
      <c r="B3" s="1" t="s">
        <v>2</v>
      </c>
      <c r="C3" s="1" t="s">
        <v>60</v>
      </c>
      <c r="D3" s="1" t="s">
        <v>59</v>
      </c>
      <c r="E3" s="1" t="s">
        <v>4</v>
      </c>
      <c r="G3" s="63"/>
      <c r="H3" s="10" t="s">
        <v>17</v>
      </c>
      <c r="I3" s="4">
        <v>1</v>
      </c>
      <c r="J3" s="5">
        <f>B4</f>
        <v>5000</v>
      </c>
      <c r="K3" s="6">
        <v>0.03</v>
      </c>
      <c r="L3" s="5">
        <f>IFERROR((J3*K3)/30*15," ")</f>
        <v>75</v>
      </c>
      <c r="M3" s="5">
        <f>IF(N3="","",L3+J3)</f>
        <v>5075</v>
      </c>
      <c r="N3" s="7">
        <f>D4</f>
        <v>45717</v>
      </c>
    </row>
    <row r="4" spans="1:17" x14ac:dyDescent="0.3">
      <c r="A4" s="19" t="s">
        <v>7</v>
      </c>
      <c r="B4" s="3">
        <v>5000</v>
      </c>
      <c r="C4" s="2" t="s">
        <v>46</v>
      </c>
      <c r="D4" s="24">
        <v>45717</v>
      </c>
      <c r="E4" s="2" t="s">
        <v>15</v>
      </c>
      <c r="G4" s="63"/>
      <c r="H4" s="10" t="s">
        <v>18</v>
      </c>
      <c r="I4" s="4">
        <v>2</v>
      </c>
      <c r="J4" s="5">
        <f>M3</f>
        <v>5075</v>
      </c>
      <c r="K4" s="6">
        <v>0.03</v>
      </c>
      <c r="L4" s="5">
        <f>IFERROR((J4*K4),"")</f>
        <v>152.25</v>
      </c>
      <c r="M4" s="5">
        <f t="shared" ref="M4:M12" si="0">IF(N4="","",L4+J4)</f>
        <v>5227.25</v>
      </c>
      <c r="N4" s="7">
        <f>SUM(N3+30)</f>
        <v>45747</v>
      </c>
    </row>
    <row r="5" spans="1:17" hidden="1" x14ac:dyDescent="0.3">
      <c r="A5" s="2" t="s">
        <v>8</v>
      </c>
      <c r="B5" s="3">
        <v>30000</v>
      </c>
      <c r="C5" s="2" t="s">
        <v>46</v>
      </c>
      <c r="D5" s="24">
        <v>45746</v>
      </c>
      <c r="E5" s="2" t="s">
        <v>15</v>
      </c>
      <c r="G5" s="63"/>
      <c r="H5" s="10" t="s">
        <v>19</v>
      </c>
      <c r="I5" s="4">
        <v>3</v>
      </c>
      <c r="J5" s="5">
        <f t="shared" ref="J5:J12" si="1">M4</f>
        <v>5227.25</v>
      </c>
      <c r="K5" s="6">
        <v>0.03</v>
      </c>
      <c r="L5" s="5">
        <f t="shared" ref="L5:L12" si="2">IFERROR((J5*K5),"")</f>
        <v>156.8175</v>
      </c>
      <c r="M5" s="5">
        <f t="shared" si="0"/>
        <v>5384.0675000000001</v>
      </c>
      <c r="N5" s="7">
        <f t="shared" ref="N5:N12" si="3">SUM(N4+30)</f>
        <v>45777</v>
      </c>
      <c r="Q5" s="7">
        <v>45807</v>
      </c>
    </row>
    <row r="6" spans="1:17" x14ac:dyDescent="0.3">
      <c r="A6" s="19" t="s">
        <v>7</v>
      </c>
      <c r="B6" s="3">
        <f>7000+8000</f>
        <v>15000</v>
      </c>
      <c r="C6" s="2" t="s">
        <v>46</v>
      </c>
      <c r="D6" s="24">
        <v>45825</v>
      </c>
      <c r="E6" s="2" t="s">
        <v>36</v>
      </c>
      <c r="G6" s="63"/>
      <c r="H6" s="10" t="s">
        <v>20</v>
      </c>
      <c r="I6" s="4">
        <v>4</v>
      </c>
      <c r="J6" s="5">
        <f t="shared" si="1"/>
        <v>5384.0675000000001</v>
      </c>
      <c r="K6" s="6">
        <v>0.03</v>
      </c>
      <c r="L6" s="5">
        <f t="shared" si="2"/>
        <v>161.52202499999999</v>
      </c>
      <c r="M6" s="5">
        <f t="shared" si="0"/>
        <v>5545.5895250000003</v>
      </c>
      <c r="N6" s="7">
        <f t="shared" si="3"/>
        <v>45807</v>
      </c>
      <c r="Q6" s="7">
        <v>45838</v>
      </c>
    </row>
    <row r="7" spans="1:17" hidden="1" x14ac:dyDescent="0.3">
      <c r="A7" s="2" t="s">
        <v>8</v>
      </c>
      <c r="B7" s="3">
        <v>15000</v>
      </c>
      <c r="C7" s="2" t="s">
        <v>46</v>
      </c>
      <c r="D7" s="24">
        <v>45924</v>
      </c>
      <c r="E7" s="2" t="s">
        <v>36</v>
      </c>
      <c r="G7" s="63"/>
      <c r="H7" s="10" t="s">
        <v>21</v>
      </c>
      <c r="I7" s="4">
        <v>5</v>
      </c>
      <c r="J7" s="5">
        <f t="shared" si="1"/>
        <v>5545.5895250000003</v>
      </c>
      <c r="K7" s="6">
        <v>0.03</v>
      </c>
      <c r="L7" s="5">
        <f t="shared" si="2"/>
        <v>166.36768574999999</v>
      </c>
      <c r="M7" s="5">
        <f t="shared" si="0"/>
        <v>5711.9572107500007</v>
      </c>
      <c r="N7" s="7">
        <f t="shared" si="3"/>
        <v>45837</v>
      </c>
      <c r="Q7" s="7">
        <v>45868</v>
      </c>
    </row>
    <row r="8" spans="1:17" x14ac:dyDescent="0.3">
      <c r="A8" s="19" t="s">
        <v>7</v>
      </c>
      <c r="B8" s="20">
        <v>2400</v>
      </c>
      <c r="C8" s="19" t="s">
        <v>46</v>
      </c>
      <c r="D8" s="28">
        <v>45931</v>
      </c>
      <c r="E8" s="19" t="s">
        <v>36</v>
      </c>
      <c r="G8" s="63"/>
      <c r="H8" s="10" t="s">
        <v>22</v>
      </c>
      <c r="I8" s="4">
        <v>6</v>
      </c>
      <c r="J8" s="5">
        <f t="shared" si="1"/>
        <v>5711.9572107500007</v>
      </c>
      <c r="K8" s="6">
        <v>0.03</v>
      </c>
      <c r="L8" s="5">
        <f t="shared" si="2"/>
        <v>171.35871632250002</v>
      </c>
      <c r="M8" s="5">
        <f t="shared" si="0"/>
        <v>5883.3159270725009</v>
      </c>
      <c r="N8" s="7">
        <f t="shared" si="3"/>
        <v>45867</v>
      </c>
      <c r="Q8" s="7">
        <v>45899</v>
      </c>
    </row>
    <row r="9" spans="1:17" hidden="1" x14ac:dyDescent="0.3">
      <c r="A9" s="45" t="s">
        <v>75</v>
      </c>
      <c r="B9" s="46">
        <v>15000</v>
      </c>
      <c r="C9" s="19" t="s">
        <v>46</v>
      </c>
      <c r="D9" s="28">
        <v>45962</v>
      </c>
      <c r="E9" s="19" t="s">
        <v>36</v>
      </c>
      <c r="G9" s="63"/>
      <c r="H9" s="10" t="s">
        <v>23</v>
      </c>
      <c r="I9" s="4">
        <v>7</v>
      </c>
      <c r="J9" s="5">
        <f t="shared" si="1"/>
        <v>5883.3159270725009</v>
      </c>
      <c r="K9" s="6">
        <v>0.03</v>
      </c>
      <c r="L9" s="5">
        <f t="shared" si="2"/>
        <v>176.49947781217503</v>
      </c>
      <c r="M9" s="5">
        <f t="shared" si="0"/>
        <v>6059.8154048846764</v>
      </c>
      <c r="N9" s="7">
        <f t="shared" si="3"/>
        <v>45897</v>
      </c>
      <c r="Q9" s="7">
        <v>45930</v>
      </c>
    </row>
    <row r="10" spans="1:17" hidden="1" x14ac:dyDescent="0.3">
      <c r="A10" s="19" t="s">
        <v>77</v>
      </c>
      <c r="B10" s="5">
        <v>10000</v>
      </c>
      <c r="C10" s="19" t="s">
        <v>79</v>
      </c>
      <c r="D10" s="28">
        <v>46054</v>
      </c>
      <c r="E10" t="s">
        <v>78</v>
      </c>
      <c r="G10" s="63"/>
      <c r="H10" s="10" t="s">
        <v>24</v>
      </c>
      <c r="I10" s="4">
        <v>8</v>
      </c>
      <c r="J10" s="5">
        <f t="shared" si="1"/>
        <v>6059.8154048846764</v>
      </c>
      <c r="K10" s="6">
        <v>0.03</v>
      </c>
      <c r="L10" s="5">
        <f t="shared" si="2"/>
        <v>181.7944621465403</v>
      </c>
      <c r="M10" s="5">
        <f t="shared" si="0"/>
        <v>6241.6098670312167</v>
      </c>
      <c r="N10" s="7">
        <f t="shared" si="3"/>
        <v>45927</v>
      </c>
      <c r="Q10" s="7">
        <v>45960</v>
      </c>
    </row>
    <row r="11" spans="1:17" hidden="1" x14ac:dyDescent="0.3">
      <c r="A11" s="14" t="s">
        <v>37</v>
      </c>
      <c r="B11" s="17">
        <f>SUM(B4:B9)</f>
        <v>82400</v>
      </c>
      <c r="C11" s="18"/>
      <c r="D11" s="14"/>
      <c r="E11" s="14"/>
      <c r="G11" s="63"/>
      <c r="H11" s="10" t="s">
        <v>25</v>
      </c>
      <c r="I11" s="4">
        <v>9</v>
      </c>
      <c r="J11" s="5">
        <f t="shared" si="1"/>
        <v>6241.6098670312167</v>
      </c>
      <c r="K11" s="6">
        <v>0.03</v>
      </c>
      <c r="L11" s="5">
        <f t="shared" si="2"/>
        <v>187.24829601093649</v>
      </c>
      <c r="M11" s="5">
        <f t="shared" si="0"/>
        <v>6428.8581630421531</v>
      </c>
      <c r="N11" s="7">
        <f t="shared" si="3"/>
        <v>45957</v>
      </c>
      <c r="Q11" s="7">
        <v>45991</v>
      </c>
    </row>
    <row r="12" spans="1:17" x14ac:dyDescent="0.3">
      <c r="A12" t="s">
        <v>105</v>
      </c>
      <c r="B12" s="5">
        <v>8247</v>
      </c>
      <c r="C12" t="s">
        <v>46</v>
      </c>
      <c r="D12" s="28">
        <v>46082</v>
      </c>
      <c r="E12" t="s">
        <v>106</v>
      </c>
      <c r="G12" s="63"/>
      <c r="H12" s="10" t="s">
        <v>26</v>
      </c>
      <c r="I12" s="4">
        <v>10</v>
      </c>
      <c r="J12" s="5">
        <f t="shared" si="1"/>
        <v>6428.8581630421531</v>
      </c>
      <c r="K12" s="6">
        <v>0.03</v>
      </c>
      <c r="L12" s="5">
        <f t="shared" si="2"/>
        <v>192.8657448912646</v>
      </c>
      <c r="M12" s="5">
        <f t="shared" si="0"/>
        <v>6621.7239079334176</v>
      </c>
      <c r="N12" s="7">
        <f t="shared" si="3"/>
        <v>45987</v>
      </c>
      <c r="Q12" s="7">
        <v>46021</v>
      </c>
    </row>
    <row r="13" spans="1:17" x14ac:dyDescent="0.3">
      <c r="A13" t="s">
        <v>105</v>
      </c>
      <c r="B13" s="5">
        <v>3470</v>
      </c>
      <c r="C13" t="s">
        <v>107</v>
      </c>
      <c r="D13" s="28">
        <v>46113</v>
      </c>
      <c r="E13" t="s">
        <v>108</v>
      </c>
      <c r="G13" s="44"/>
      <c r="H13" s="10"/>
      <c r="I13" s="4"/>
      <c r="J13" s="5"/>
      <c r="K13" s="6"/>
      <c r="L13" s="5"/>
      <c r="M13" s="5"/>
      <c r="N13" s="7"/>
    </row>
    <row r="14" spans="1:17" x14ac:dyDescent="0.3">
      <c r="A14" t="s">
        <v>105</v>
      </c>
      <c r="B14" s="64">
        <v>3500</v>
      </c>
      <c r="C14" t="s">
        <v>82</v>
      </c>
      <c r="D14" s="28">
        <v>46143</v>
      </c>
      <c r="E14" t="s">
        <v>106</v>
      </c>
      <c r="G14" s="44"/>
      <c r="H14" s="10"/>
      <c r="I14" s="4"/>
      <c r="J14" s="5"/>
      <c r="K14" s="6"/>
      <c r="L14" s="5"/>
      <c r="M14" s="5"/>
      <c r="N14" s="7"/>
    </row>
    <row r="15" spans="1:17" x14ac:dyDescent="0.3">
      <c r="G15" s="44"/>
      <c r="H15" s="10"/>
      <c r="I15" s="4"/>
      <c r="J15" s="5"/>
      <c r="K15" s="6"/>
      <c r="L15" s="5"/>
      <c r="M15" s="5"/>
      <c r="N15" s="7"/>
    </row>
    <row r="16" spans="1:17" x14ac:dyDescent="0.3">
      <c r="G16" s="9" t="str">
        <f>A4</f>
        <v>FLÁVIA</v>
      </c>
      <c r="H16" s="11" t="s">
        <v>31</v>
      </c>
      <c r="I16" s="11"/>
      <c r="J16" s="11"/>
      <c r="K16" s="11"/>
      <c r="L16" s="11"/>
      <c r="M16" s="12">
        <f>LARGE(M3:M12,1)</f>
        <v>6621.7239079334176</v>
      </c>
      <c r="N16" s="8"/>
    </row>
    <row r="17" spans="1:17" x14ac:dyDescent="0.3">
      <c r="H17"/>
      <c r="I17" s="4"/>
    </row>
    <row r="18" spans="1:17" x14ac:dyDescent="0.3">
      <c r="H18"/>
      <c r="I18" s="4"/>
    </row>
    <row r="19" spans="1:17" x14ac:dyDescent="0.3">
      <c r="G19" s="63" t="s">
        <v>30</v>
      </c>
      <c r="H19" s="8" t="s">
        <v>16</v>
      </c>
      <c r="I19" s="9" t="s">
        <v>11</v>
      </c>
      <c r="J19" s="9" t="s">
        <v>10</v>
      </c>
      <c r="K19" s="9" t="s">
        <v>12</v>
      </c>
      <c r="L19" s="9" t="s">
        <v>27</v>
      </c>
      <c r="M19" s="9" t="s">
        <v>13</v>
      </c>
      <c r="N19" s="9" t="s">
        <v>14</v>
      </c>
      <c r="Q19" s="7">
        <v>45838</v>
      </c>
    </row>
    <row r="20" spans="1:17" x14ac:dyDescent="0.3">
      <c r="G20" s="63"/>
      <c r="H20" s="10" t="s">
        <v>17</v>
      </c>
      <c r="I20" s="4">
        <v>1</v>
      </c>
      <c r="J20" s="5">
        <f>B5</f>
        <v>30000</v>
      </c>
      <c r="K20" s="6">
        <v>0.02</v>
      </c>
      <c r="L20" s="5">
        <f>IFERROR((J20*K20)/30*15," ")</f>
        <v>300</v>
      </c>
      <c r="M20" s="5">
        <f>IF(N20="","",L20+J20)</f>
        <v>30300</v>
      </c>
      <c r="N20" s="7">
        <v>45777</v>
      </c>
      <c r="Q20" s="7">
        <v>45868</v>
      </c>
    </row>
    <row r="21" spans="1:17" x14ac:dyDescent="0.3">
      <c r="G21" s="63"/>
      <c r="H21" s="10" t="s">
        <v>18</v>
      </c>
      <c r="I21" s="4">
        <v>2</v>
      </c>
      <c r="J21" s="5">
        <f>M20</f>
        <v>30300</v>
      </c>
      <c r="K21" s="6">
        <v>0.02</v>
      </c>
      <c r="L21" s="5">
        <f>IFERROR((J21*K21),"")</f>
        <v>606</v>
      </c>
      <c r="M21" s="5">
        <f t="shared" ref="M21:M28" si="4">IF(N21="","",L21+J21)</f>
        <v>30906</v>
      </c>
      <c r="N21" s="7">
        <f t="shared" ref="N21:N22" si="5">SUM(N20+30)</f>
        <v>45807</v>
      </c>
      <c r="Q21" s="7">
        <v>45899</v>
      </c>
    </row>
    <row r="22" spans="1:17" x14ac:dyDescent="0.3">
      <c r="G22" s="63"/>
      <c r="H22" s="10" t="s">
        <v>19</v>
      </c>
      <c r="I22" s="4">
        <v>3</v>
      </c>
      <c r="J22" s="5">
        <f t="shared" ref="J22:J28" si="6">M21</f>
        <v>30906</v>
      </c>
      <c r="K22" s="6">
        <v>0.02</v>
      </c>
      <c r="L22" s="5">
        <f t="shared" ref="L22:L28" si="7">IFERROR((J22*K22),"")</f>
        <v>618.12</v>
      </c>
      <c r="M22" s="5">
        <f t="shared" si="4"/>
        <v>31524.12</v>
      </c>
      <c r="N22" s="7">
        <f t="shared" si="5"/>
        <v>45837</v>
      </c>
      <c r="Q22" s="7">
        <v>45930</v>
      </c>
    </row>
    <row r="23" spans="1:17" x14ac:dyDescent="0.3">
      <c r="A23" s="16" t="s">
        <v>38</v>
      </c>
      <c r="G23" s="63"/>
      <c r="H23" s="10" t="s">
        <v>20</v>
      </c>
      <c r="I23" s="4">
        <v>4</v>
      </c>
      <c r="J23" s="5">
        <f t="shared" si="6"/>
        <v>31524.12</v>
      </c>
      <c r="K23" s="6">
        <v>0.02</v>
      </c>
      <c r="L23" s="5">
        <f t="shared" si="7"/>
        <v>630.48239999999998</v>
      </c>
      <c r="M23" s="5">
        <f t="shared" si="4"/>
        <v>32154.6024</v>
      </c>
      <c r="N23" s="7">
        <f t="shared" ref="N23:N28" si="8">SUM(N22+30)</f>
        <v>45867</v>
      </c>
      <c r="Q23" s="7">
        <v>45960</v>
      </c>
    </row>
    <row r="24" spans="1:17" x14ac:dyDescent="0.3">
      <c r="A24" s="1" t="s">
        <v>1</v>
      </c>
      <c r="B24" s="1" t="s">
        <v>32</v>
      </c>
      <c r="G24" s="63"/>
      <c r="H24" s="10" t="s">
        <v>21</v>
      </c>
      <c r="I24" s="4">
        <v>5</v>
      </c>
      <c r="J24" s="5">
        <f t="shared" si="6"/>
        <v>32154.6024</v>
      </c>
      <c r="K24" s="6">
        <v>0.02</v>
      </c>
      <c r="L24" s="5">
        <f t="shared" si="7"/>
        <v>643.09204799999998</v>
      </c>
      <c r="M24" s="5">
        <f t="shared" si="4"/>
        <v>32797.694448000002</v>
      </c>
      <c r="N24" s="7">
        <f t="shared" si="8"/>
        <v>45897</v>
      </c>
      <c r="Q24" s="7">
        <v>45991</v>
      </c>
    </row>
    <row r="25" spans="1:17" x14ac:dyDescent="0.3">
      <c r="A25" s="2" t="s">
        <v>9</v>
      </c>
      <c r="B25" s="13">
        <f>SUMIF(G:G,A25,M:M)</f>
        <v>21386.712573093642</v>
      </c>
      <c r="G25" s="63"/>
      <c r="H25" s="10" t="s">
        <v>22</v>
      </c>
      <c r="I25" s="4">
        <v>6</v>
      </c>
      <c r="J25" s="5">
        <f t="shared" si="6"/>
        <v>32797.694448000002</v>
      </c>
      <c r="K25" s="6">
        <v>0.02</v>
      </c>
      <c r="L25" s="5">
        <f t="shared" si="7"/>
        <v>655.95388896000009</v>
      </c>
      <c r="M25" s="5">
        <f t="shared" si="4"/>
        <v>33453.648336960003</v>
      </c>
      <c r="N25" s="7">
        <f t="shared" si="8"/>
        <v>45927</v>
      </c>
      <c r="Q25" s="7">
        <v>46021</v>
      </c>
    </row>
    <row r="26" spans="1:17" x14ac:dyDescent="0.3">
      <c r="A26" s="2" t="s">
        <v>8</v>
      </c>
      <c r="B26" s="13">
        <f>SUMIF(G:G,A26,M:M)</f>
        <v>35501.279244368656</v>
      </c>
      <c r="G26" s="63"/>
      <c r="H26" s="10" t="s">
        <v>23</v>
      </c>
      <c r="I26" s="4">
        <v>7</v>
      </c>
      <c r="J26" s="5">
        <f t="shared" si="6"/>
        <v>33453.648336960003</v>
      </c>
      <c r="K26" s="6">
        <v>0.02</v>
      </c>
      <c r="L26" s="5">
        <f t="shared" si="7"/>
        <v>669.07296673920007</v>
      </c>
      <c r="M26" s="5">
        <f t="shared" si="4"/>
        <v>34122.721303699203</v>
      </c>
      <c r="N26" s="7">
        <f t="shared" si="8"/>
        <v>45957</v>
      </c>
    </row>
    <row r="27" spans="1:17" x14ac:dyDescent="0.3">
      <c r="A27" s="2" t="s">
        <v>39</v>
      </c>
      <c r="B27" s="13">
        <f>SUMIF(G:G,A27,M:M)</f>
        <v>16152.202499999999</v>
      </c>
      <c r="G27" s="63"/>
      <c r="H27" s="10" t="s">
        <v>24</v>
      </c>
      <c r="I27" s="4">
        <v>8</v>
      </c>
      <c r="J27" s="5">
        <f t="shared" si="6"/>
        <v>34122.721303699203</v>
      </c>
      <c r="K27" s="6">
        <v>0.02</v>
      </c>
      <c r="L27" s="5">
        <f t="shared" si="7"/>
        <v>682.45442607398411</v>
      </c>
      <c r="M27" s="5">
        <f t="shared" si="4"/>
        <v>34805.175729773189</v>
      </c>
      <c r="N27" s="7">
        <f t="shared" si="8"/>
        <v>45987</v>
      </c>
    </row>
    <row r="28" spans="1:17" x14ac:dyDescent="0.3">
      <c r="A28" s="2" t="s">
        <v>56</v>
      </c>
      <c r="B28" s="13" t="e">
        <f>SUMIF(G:G,A28,M:M)</f>
        <v>#VALUE!</v>
      </c>
      <c r="G28" s="63"/>
      <c r="H28" s="10" t="s">
        <v>25</v>
      </c>
      <c r="I28" s="4">
        <v>9</v>
      </c>
      <c r="J28" s="5">
        <f t="shared" si="6"/>
        <v>34805.175729773189</v>
      </c>
      <c r="K28" s="6">
        <v>0.02</v>
      </c>
      <c r="L28" s="5">
        <f t="shared" si="7"/>
        <v>696.10351459546382</v>
      </c>
      <c r="M28" s="5">
        <f t="shared" si="4"/>
        <v>35501.279244368656</v>
      </c>
      <c r="N28" s="7">
        <f t="shared" si="8"/>
        <v>46017</v>
      </c>
    </row>
    <row r="29" spans="1:17" x14ac:dyDescent="0.3">
      <c r="A29" s="14" t="s">
        <v>33</v>
      </c>
      <c r="B29" s="15">
        <f>SUM(B25:B27)</f>
        <v>73040.194317462301</v>
      </c>
      <c r="G29" s="44"/>
      <c r="H29" s="10"/>
      <c r="I29" s="4"/>
      <c r="J29" s="5"/>
      <c r="K29" s="6"/>
      <c r="L29" s="5"/>
      <c r="M29" s="5"/>
      <c r="N29" s="7"/>
    </row>
    <row r="30" spans="1:17" x14ac:dyDescent="0.3">
      <c r="G30" s="44"/>
      <c r="H30" s="10"/>
      <c r="I30" s="4"/>
      <c r="J30" s="5"/>
      <c r="K30" s="6"/>
      <c r="L30" s="5"/>
      <c r="M30" s="5"/>
      <c r="N30" s="7"/>
    </row>
    <row r="31" spans="1:17" x14ac:dyDescent="0.3">
      <c r="G31" s="44"/>
      <c r="H31" s="10"/>
      <c r="I31" s="4"/>
      <c r="J31" s="5"/>
      <c r="K31" s="6"/>
      <c r="L31" s="5"/>
      <c r="M31" s="5"/>
      <c r="N31" s="7"/>
    </row>
    <row r="32" spans="1:17" x14ac:dyDescent="0.3">
      <c r="G32" s="9" t="str">
        <f>A5</f>
        <v>LU MÃE PETRICK</v>
      </c>
      <c r="H32" s="11" t="s">
        <v>31</v>
      </c>
      <c r="I32" s="11"/>
      <c r="J32" s="11"/>
      <c r="K32" s="11"/>
      <c r="L32" s="11"/>
      <c r="M32" s="12">
        <f>LARGE(M20:M28,1)</f>
        <v>35501.279244368656</v>
      </c>
      <c r="N32" s="8"/>
    </row>
    <row r="34" spans="7:14" x14ac:dyDescent="0.3">
      <c r="G34" s="63" t="s">
        <v>30</v>
      </c>
      <c r="H34" s="8" t="s">
        <v>16</v>
      </c>
      <c r="I34" s="9" t="s">
        <v>11</v>
      </c>
      <c r="J34" s="9" t="s">
        <v>10</v>
      </c>
      <c r="K34" s="9" t="s">
        <v>12</v>
      </c>
      <c r="L34" s="9" t="s">
        <v>27</v>
      </c>
      <c r="M34" s="9" t="s">
        <v>13</v>
      </c>
      <c r="N34" s="9" t="s">
        <v>14</v>
      </c>
    </row>
    <row r="35" spans="7:14" x14ac:dyDescent="0.3">
      <c r="G35" s="63"/>
      <c r="H35" s="10" t="s">
        <v>19</v>
      </c>
      <c r="I35" s="4">
        <v>1</v>
      </c>
      <c r="J35" s="5">
        <f>B6</f>
        <v>15000</v>
      </c>
      <c r="K35" s="6">
        <v>0.03</v>
      </c>
      <c r="L35" s="5">
        <f>IFERROR((J35*K35)/30*15," ")</f>
        <v>225</v>
      </c>
      <c r="M35" s="5">
        <f>IF(N35="","",L35+J35)</f>
        <v>15225</v>
      </c>
      <c r="N35" s="7">
        <f>D6</f>
        <v>45825</v>
      </c>
    </row>
    <row r="36" spans="7:14" x14ac:dyDescent="0.3">
      <c r="G36" s="63"/>
      <c r="H36" s="10" t="s">
        <v>20</v>
      </c>
      <c r="I36" s="4">
        <v>2</v>
      </c>
      <c r="J36" s="5">
        <f>M35</f>
        <v>15225</v>
      </c>
      <c r="K36" s="6">
        <v>0.03</v>
      </c>
      <c r="L36" s="5">
        <f>IFERROR((J36*K36),"")</f>
        <v>456.75</v>
      </c>
      <c r="M36" s="5">
        <f t="shared" ref="M36:M42" si="9">IF(N36="","",L36+J36)</f>
        <v>15681.75</v>
      </c>
      <c r="N36" s="7">
        <f t="shared" ref="N36:N42" si="10">SUM(N35+30)</f>
        <v>45855</v>
      </c>
    </row>
    <row r="37" spans="7:14" x14ac:dyDescent="0.3">
      <c r="G37" s="63"/>
      <c r="H37" s="10" t="s">
        <v>21</v>
      </c>
      <c r="I37" s="4">
        <v>3</v>
      </c>
      <c r="J37" s="5">
        <f t="shared" ref="J37:J42" si="11">M36</f>
        <v>15681.75</v>
      </c>
      <c r="K37" s="6">
        <v>0.03</v>
      </c>
      <c r="L37" s="5">
        <f t="shared" ref="L37:L42" si="12">IFERROR((J37*K37),"")</f>
        <v>470.45249999999999</v>
      </c>
      <c r="M37" s="5">
        <f t="shared" si="9"/>
        <v>16152.202499999999</v>
      </c>
      <c r="N37" s="7">
        <f t="shared" si="10"/>
        <v>45885</v>
      </c>
    </row>
    <row r="38" spans="7:14" x14ac:dyDescent="0.3">
      <c r="G38" s="63"/>
      <c r="H38" s="10" t="s">
        <v>22</v>
      </c>
      <c r="I38" s="4">
        <v>4</v>
      </c>
      <c r="J38" s="5">
        <f t="shared" si="11"/>
        <v>16152.202499999999</v>
      </c>
      <c r="K38" s="6">
        <v>0.03</v>
      </c>
      <c r="L38" s="5">
        <f t="shared" si="12"/>
        <v>484.56607499999996</v>
      </c>
      <c r="M38" s="5">
        <f t="shared" si="9"/>
        <v>16636.768574999998</v>
      </c>
      <c r="N38" s="7">
        <f t="shared" si="10"/>
        <v>45915</v>
      </c>
    </row>
    <row r="39" spans="7:14" x14ac:dyDescent="0.3">
      <c r="G39" s="63"/>
      <c r="H39" s="10" t="s">
        <v>23</v>
      </c>
      <c r="I39" s="4">
        <v>5</v>
      </c>
      <c r="J39" s="5">
        <f t="shared" si="11"/>
        <v>16636.768574999998</v>
      </c>
      <c r="K39" s="6">
        <v>0.03</v>
      </c>
      <c r="L39" s="5">
        <f t="shared" si="12"/>
        <v>499.10305724999995</v>
      </c>
      <c r="M39" s="5">
        <f t="shared" si="9"/>
        <v>17135.871632249997</v>
      </c>
      <c r="N39" s="7">
        <f t="shared" si="10"/>
        <v>45945</v>
      </c>
    </row>
    <row r="40" spans="7:14" x14ac:dyDescent="0.3">
      <c r="G40" s="63"/>
      <c r="H40" s="10" t="s">
        <v>24</v>
      </c>
      <c r="I40" s="4">
        <v>6</v>
      </c>
      <c r="J40" s="5">
        <f t="shared" si="11"/>
        <v>17135.871632249997</v>
      </c>
      <c r="K40" s="6">
        <v>0.03</v>
      </c>
      <c r="L40" s="5">
        <f t="shared" si="12"/>
        <v>514.07614896749988</v>
      </c>
      <c r="M40" s="5">
        <f t="shared" si="9"/>
        <v>17649.947781217496</v>
      </c>
      <c r="N40" s="7">
        <f t="shared" si="10"/>
        <v>45975</v>
      </c>
    </row>
    <row r="41" spans="7:14" x14ac:dyDescent="0.3">
      <c r="G41" s="63"/>
      <c r="H41" s="10" t="s">
        <v>25</v>
      </c>
      <c r="I41" s="4">
        <v>7</v>
      </c>
      <c r="J41" s="5">
        <f t="shared" si="11"/>
        <v>17649.947781217496</v>
      </c>
      <c r="K41" s="6">
        <v>0.03</v>
      </c>
      <c r="L41" s="5">
        <f t="shared" si="12"/>
        <v>529.49843343652481</v>
      </c>
      <c r="M41" s="5">
        <f t="shared" si="9"/>
        <v>18179.446214654021</v>
      </c>
      <c r="N41" s="7">
        <f t="shared" si="10"/>
        <v>46005</v>
      </c>
    </row>
    <row r="42" spans="7:14" x14ac:dyDescent="0.3">
      <c r="G42" s="63"/>
      <c r="H42" s="10" t="s">
        <v>26</v>
      </c>
      <c r="I42" s="4">
        <v>8</v>
      </c>
      <c r="J42" s="5">
        <f t="shared" si="11"/>
        <v>18179.446214654021</v>
      </c>
      <c r="K42" s="6">
        <v>0.03</v>
      </c>
      <c r="L42" s="5">
        <f t="shared" si="12"/>
        <v>545.38338643962061</v>
      </c>
      <c r="M42" s="5">
        <f t="shared" si="9"/>
        <v>18724.829601093643</v>
      </c>
      <c r="N42" s="7">
        <f t="shared" si="10"/>
        <v>46035</v>
      </c>
    </row>
    <row r="43" spans="7:14" x14ac:dyDescent="0.3">
      <c r="G43" s="44"/>
      <c r="H43" s="10"/>
      <c r="I43" s="4"/>
      <c r="J43" s="5"/>
      <c r="K43" s="6"/>
      <c r="L43" s="5"/>
      <c r="M43" s="5"/>
      <c r="N43" s="7"/>
    </row>
    <row r="44" spans="7:14" x14ac:dyDescent="0.3">
      <c r="G44" s="44"/>
      <c r="H44" s="10"/>
      <c r="I44" s="4"/>
      <c r="J44" s="5"/>
      <c r="K44" s="6"/>
      <c r="L44" s="5"/>
      <c r="M44" s="5"/>
      <c r="N44" s="7"/>
    </row>
    <row r="45" spans="7:14" x14ac:dyDescent="0.3">
      <c r="G45" s="44"/>
      <c r="H45" s="10"/>
      <c r="I45" s="4"/>
      <c r="J45" s="5"/>
      <c r="K45" s="6"/>
      <c r="L45" s="5"/>
      <c r="M45" s="5"/>
      <c r="N45" s="7"/>
    </row>
    <row r="46" spans="7:14" x14ac:dyDescent="0.3">
      <c r="G46" s="9" t="s">
        <v>9</v>
      </c>
      <c r="H46" s="11" t="s">
        <v>31</v>
      </c>
      <c r="I46" s="11"/>
      <c r="J46" s="11"/>
      <c r="K46" s="11"/>
      <c r="L46" s="11"/>
      <c r="M46" s="12">
        <f>LARGE(M35:M42,1)</f>
        <v>18724.829601093643</v>
      </c>
      <c r="N46" s="8"/>
    </row>
    <row r="48" spans="7:14" x14ac:dyDescent="0.3">
      <c r="G48" s="63" t="s">
        <v>30</v>
      </c>
      <c r="H48" s="8" t="s">
        <v>16</v>
      </c>
      <c r="I48" s="9" t="s">
        <v>11</v>
      </c>
      <c r="J48" s="9" t="s">
        <v>10</v>
      </c>
      <c r="K48" s="9" t="s">
        <v>12</v>
      </c>
      <c r="L48" s="9" t="s">
        <v>27</v>
      </c>
      <c r="M48" s="9" t="s">
        <v>13</v>
      </c>
      <c r="N48" s="9" t="s">
        <v>14</v>
      </c>
    </row>
    <row r="49" spans="7:14" x14ac:dyDescent="0.3">
      <c r="G49" s="63"/>
      <c r="H49" s="10" t="s">
        <v>23</v>
      </c>
      <c r="I49" s="4">
        <v>1</v>
      </c>
      <c r="J49" s="5">
        <f>B7</f>
        <v>15000</v>
      </c>
      <c r="K49" s="6">
        <v>0.03</v>
      </c>
      <c r="L49" s="5">
        <f>IFERROR((J49*K49)/30*15," ")</f>
        <v>225</v>
      </c>
      <c r="M49" s="5">
        <f>IF(N49="","",L49+J49)</f>
        <v>15225</v>
      </c>
      <c r="N49" s="7">
        <v>45930</v>
      </c>
    </row>
    <row r="50" spans="7:14" x14ac:dyDescent="0.3">
      <c r="G50" s="63"/>
      <c r="H50" s="10" t="s">
        <v>24</v>
      </c>
      <c r="I50" s="4">
        <v>2</v>
      </c>
      <c r="J50" s="5">
        <f>M49</f>
        <v>15225</v>
      </c>
      <c r="K50" s="6">
        <v>0.03</v>
      </c>
      <c r="L50" s="5">
        <f>IFERROR((J50*K50),"")</f>
        <v>456.75</v>
      </c>
      <c r="M50" s="5">
        <f>IF(N50="","",L50+J50)</f>
        <v>15681.75</v>
      </c>
      <c r="N50" s="7">
        <f>N49+30</f>
        <v>45960</v>
      </c>
    </row>
    <row r="51" spans="7:14" x14ac:dyDescent="0.3">
      <c r="G51" s="63"/>
      <c r="H51" s="10" t="s">
        <v>25</v>
      </c>
      <c r="I51" s="4">
        <v>3</v>
      </c>
      <c r="J51" s="5">
        <f>M50</f>
        <v>15681.75</v>
      </c>
      <c r="K51" s="6">
        <v>0.03</v>
      </c>
      <c r="L51" s="5">
        <f>IFERROR((J51*K51),"")</f>
        <v>470.45249999999999</v>
      </c>
      <c r="M51" s="5">
        <f>IF(N51="","",L51+J51)</f>
        <v>16152.202499999999</v>
      </c>
      <c r="N51" s="7">
        <f t="shared" ref="N51:N53" si="13">N50+30</f>
        <v>45990</v>
      </c>
    </row>
    <row r="52" spans="7:14" x14ac:dyDescent="0.3">
      <c r="G52" s="63"/>
      <c r="H52" s="10" t="s">
        <v>26</v>
      </c>
      <c r="I52" s="4">
        <v>4</v>
      </c>
      <c r="J52" s="5">
        <f>M51</f>
        <v>16152.202499999999</v>
      </c>
      <c r="K52" s="6">
        <v>0.03</v>
      </c>
      <c r="L52" s="5">
        <f>IFERROR((J52*K52),"")</f>
        <v>484.56607499999996</v>
      </c>
      <c r="M52" s="5">
        <f>IF(N52="","",L52+J52)</f>
        <v>16636.768574999998</v>
      </c>
      <c r="N52" s="7">
        <f t="shared" si="13"/>
        <v>46020</v>
      </c>
    </row>
    <row r="53" spans="7:14" x14ac:dyDescent="0.3">
      <c r="G53" s="63"/>
      <c r="H53" s="10" t="s">
        <v>28</v>
      </c>
      <c r="I53" s="4">
        <v>5</v>
      </c>
      <c r="J53" s="5">
        <f>M50</f>
        <v>15681.75</v>
      </c>
      <c r="K53" s="6">
        <v>0.03</v>
      </c>
      <c r="L53" s="5">
        <f>IFERROR((J53*K53),"")</f>
        <v>470.45249999999999</v>
      </c>
      <c r="M53" s="5">
        <f>IF(N53="","",L53+J53)</f>
        <v>16152.202499999999</v>
      </c>
      <c r="N53" s="7">
        <f t="shared" si="13"/>
        <v>46050</v>
      </c>
    </row>
    <row r="54" spans="7:14" x14ac:dyDescent="0.3">
      <c r="G54" s="44"/>
      <c r="H54" s="10"/>
      <c r="I54" s="4"/>
      <c r="J54" s="5"/>
      <c r="K54" s="6"/>
      <c r="L54" s="5"/>
      <c r="M54" s="5"/>
      <c r="N54" s="7"/>
    </row>
    <row r="55" spans="7:14" x14ac:dyDescent="0.3">
      <c r="G55" s="44"/>
      <c r="H55" s="10"/>
      <c r="I55" s="4"/>
      <c r="J55" s="5"/>
      <c r="K55" s="6"/>
      <c r="L55" s="5"/>
      <c r="M55" s="5"/>
      <c r="N55" s="7"/>
    </row>
    <row r="56" spans="7:14" x14ac:dyDescent="0.3">
      <c r="G56" s="44"/>
      <c r="H56" s="10"/>
      <c r="I56" s="4"/>
      <c r="J56" s="5"/>
      <c r="K56" s="6"/>
      <c r="L56" s="5"/>
      <c r="M56" s="5"/>
      <c r="N56" s="7"/>
    </row>
    <row r="57" spans="7:14" x14ac:dyDescent="0.3">
      <c r="G57" s="11" t="str">
        <f>'EMPRÉSTIMO BROBOND'!A27</f>
        <v>PETRICK (Investidor) Mãe</v>
      </c>
      <c r="H57" s="11" t="s">
        <v>31</v>
      </c>
      <c r="I57" s="11"/>
      <c r="J57" s="11"/>
      <c r="K57" s="11"/>
      <c r="L57" s="11"/>
      <c r="M57" s="12">
        <f>LARGE(M53:M53,1)</f>
        <v>16152.202499999999</v>
      </c>
      <c r="N57" s="8"/>
    </row>
    <row r="60" spans="7:14" x14ac:dyDescent="0.3">
      <c r="G60" s="63" t="s">
        <v>30</v>
      </c>
      <c r="H60" s="8" t="s">
        <v>16</v>
      </c>
      <c r="I60" s="9" t="s">
        <v>11</v>
      </c>
      <c r="J60" s="9" t="s">
        <v>10</v>
      </c>
      <c r="K60" s="9" t="s">
        <v>12</v>
      </c>
      <c r="L60" s="9" t="s">
        <v>27</v>
      </c>
      <c r="M60" s="9" t="s">
        <v>13</v>
      </c>
      <c r="N60" s="9" t="s">
        <v>14</v>
      </c>
    </row>
    <row r="61" spans="7:14" x14ac:dyDescent="0.3">
      <c r="G61" s="63"/>
      <c r="H61" s="10" t="s">
        <v>24</v>
      </c>
      <c r="I61" s="4">
        <v>1</v>
      </c>
      <c r="J61" s="5">
        <f>B8</f>
        <v>2400</v>
      </c>
      <c r="K61" s="6">
        <v>0.03</v>
      </c>
      <c r="L61" s="5">
        <f>IFERROR((J61*K61)/30*15," ")</f>
        <v>36</v>
      </c>
      <c r="M61" s="5">
        <f>IF(N61="","",L61+J61)</f>
        <v>2436</v>
      </c>
      <c r="N61" s="7">
        <v>45960</v>
      </c>
    </row>
    <row r="62" spans="7:14" x14ac:dyDescent="0.3">
      <c r="G62" s="63"/>
      <c r="H62" s="10" t="s">
        <v>25</v>
      </c>
      <c r="I62" s="4">
        <v>2</v>
      </c>
      <c r="J62" s="5">
        <f>M61</f>
        <v>2436</v>
      </c>
      <c r="K62" s="6">
        <v>0.03</v>
      </c>
      <c r="L62" s="5">
        <f>IFERROR((J62*K62),"")</f>
        <v>73.08</v>
      </c>
      <c r="M62" s="5">
        <f>IF(N62="","",L62+J62)</f>
        <v>2509.08</v>
      </c>
      <c r="N62" s="7">
        <v>45930</v>
      </c>
    </row>
    <row r="63" spans="7:14" x14ac:dyDescent="0.3">
      <c r="G63" s="63"/>
      <c r="H63" s="10" t="s">
        <v>26</v>
      </c>
      <c r="I63" s="4">
        <v>3</v>
      </c>
      <c r="J63" s="5">
        <f>M62</f>
        <v>2509.08</v>
      </c>
      <c r="K63" s="6">
        <v>0.03</v>
      </c>
      <c r="L63" s="5">
        <f>IFERROR((J63*K63),"")</f>
        <v>75.27239999999999</v>
      </c>
      <c r="M63" s="5">
        <f>IF(N63="","",L63+J63)</f>
        <v>2584.3523999999998</v>
      </c>
      <c r="N63" s="7">
        <v>45960</v>
      </c>
    </row>
    <row r="64" spans="7:14" x14ac:dyDescent="0.3">
      <c r="G64" s="63"/>
      <c r="H64" s="10" t="s">
        <v>28</v>
      </c>
      <c r="I64" s="4">
        <v>4</v>
      </c>
      <c r="J64" s="5">
        <f>M63</f>
        <v>2584.3523999999998</v>
      </c>
      <c r="K64" s="6">
        <v>0.03</v>
      </c>
      <c r="L64" s="5">
        <f>IFERROR((J64*K64),"")</f>
        <v>77.530571999999992</v>
      </c>
      <c r="M64" s="5">
        <f>IF(N64="","",L64+J64)</f>
        <v>2661.8829719999999</v>
      </c>
      <c r="N64" s="7">
        <v>45991</v>
      </c>
    </row>
    <row r="65" spans="7:14" x14ac:dyDescent="0.3">
      <c r="G65" s="44"/>
      <c r="H65" s="10"/>
      <c r="I65" s="4"/>
      <c r="J65" s="5"/>
      <c r="K65" s="6"/>
      <c r="L65" s="5"/>
      <c r="M65" s="5"/>
      <c r="N65" s="7"/>
    </row>
    <row r="66" spans="7:14" x14ac:dyDescent="0.3">
      <c r="G66" s="44"/>
      <c r="H66" s="10"/>
      <c r="I66" s="4"/>
      <c r="J66" s="5"/>
      <c r="K66" s="6"/>
      <c r="L66" s="5"/>
      <c r="M66" s="5"/>
      <c r="N66" s="7"/>
    </row>
    <row r="67" spans="7:14" x14ac:dyDescent="0.3">
      <c r="G67" s="44"/>
      <c r="H67" s="10"/>
      <c r="I67" s="4"/>
      <c r="J67" s="5"/>
      <c r="K67" s="6"/>
      <c r="L67" s="5"/>
      <c r="M67" s="5"/>
      <c r="N67" s="7"/>
    </row>
    <row r="68" spans="7:14" x14ac:dyDescent="0.3">
      <c r="G68" s="11" t="str">
        <f>A25</f>
        <v>FLAVIA</v>
      </c>
      <c r="H68" s="11" t="s">
        <v>31</v>
      </c>
      <c r="I68" s="11"/>
      <c r="J68" s="11"/>
      <c r="K68" s="11"/>
      <c r="L68" s="11"/>
      <c r="M68" s="12">
        <f>M64</f>
        <v>2661.8829719999999</v>
      </c>
      <c r="N68" s="8"/>
    </row>
    <row r="70" spans="7:14" x14ac:dyDescent="0.3">
      <c r="G70" s="21" t="s">
        <v>30</v>
      </c>
      <c r="H70" s="8" t="s">
        <v>16</v>
      </c>
      <c r="I70" s="9" t="s">
        <v>11</v>
      </c>
      <c r="J70" s="9" t="s">
        <v>10</v>
      </c>
      <c r="K70" s="9" t="s">
        <v>12</v>
      </c>
      <c r="L70" s="9" t="s">
        <v>27</v>
      </c>
      <c r="M70" s="9" t="s">
        <v>13</v>
      </c>
      <c r="N70" s="9" t="s">
        <v>14</v>
      </c>
    </row>
    <row r="71" spans="7:14" x14ac:dyDescent="0.3">
      <c r="G71" s="23"/>
      <c r="H71" s="22">
        <v>45689</v>
      </c>
      <c r="I71" s="4">
        <v>1</v>
      </c>
      <c r="J71" s="5" t="e">
        <f>'EMPRÉSTIMO PESSOAL PETRICK'!#REF!</f>
        <v>#REF!</v>
      </c>
      <c r="K71" s="31">
        <v>1.4999999999999999E-2</v>
      </c>
      <c r="L71" s="5" t="str">
        <f>IFERROR((J71*K71)/30*15," ")</f>
        <v xml:space="preserve"> </v>
      </c>
      <c r="M71" s="5" t="e">
        <f>IF(N71="","",L71+J71)</f>
        <v>#VALUE!</v>
      </c>
      <c r="N71" s="7">
        <v>45930</v>
      </c>
    </row>
    <row r="72" spans="7:14" x14ac:dyDescent="0.3">
      <c r="G72" s="23"/>
      <c r="H72" s="22">
        <v>45717</v>
      </c>
      <c r="I72" s="4">
        <v>2</v>
      </c>
      <c r="J72" s="5" t="e">
        <f>M71</f>
        <v>#VALUE!</v>
      </c>
      <c r="K72" s="31">
        <f>K71</f>
        <v>1.4999999999999999E-2</v>
      </c>
      <c r="L72" s="5" t="str">
        <f>IFERROR((J72*K72),"")</f>
        <v/>
      </c>
      <c r="M72" s="5" t="e">
        <f>IF(N72="","",L72+J72)</f>
        <v>#VALUE!</v>
      </c>
      <c r="N72" s="7">
        <f>SUM(N71+30)</f>
        <v>45960</v>
      </c>
    </row>
    <row r="73" spans="7:14" x14ac:dyDescent="0.3">
      <c r="G73" s="23"/>
      <c r="H73" s="22">
        <v>45748</v>
      </c>
      <c r="I73" s="4">
        <v>3</v>
      </c>
      <c r="J73" s="5" t="e">
        <f>M72</f>
        <v>#VALUE!</v>
      </c>
      <c r="K73" s="31">
        <f>K72</f>
        <v>1.4999999999999999E-2</v>
      </c>
      <c r="L73" s="5" t="str">
        <f>IFERROR((J73*K73),"")</f>
        <v/>
      </c>
      <c r="M73" s="5" t="e">
        <f>IF(N73="","",L73+J73)</f>
        <v>#VALUE!</v>
      </c>
      <c r="N73" s="7">
        <f>SUM(N72+30)</f>
        <v>45990</v>
      </c>
    </row>
    <row r="74" spans="7:14" x14ac:dyDescent="0.3">
      <c r="G74" s="23"/>
      <c r="H74" s="22">
        <v>45778</v>
      </c>
      <c r="I74" s="4">
        <v>4</v>
      </c>
      <c r="J74" s="5" t="e">
        <f>M73</f>
        <v>#VALUE!</v>
      </c>
      <c r="K74" s="31">
        <f>K73</f>
        <v>1.4999999999999999E-2</v>
      </c>
      <c r="L74" s="5" t="str">
        <f>IFERROR((J74*K74),"")</f>
        <v/>
      </c>
      <c r="M74" s="5" t="e">
        <f>IF(N74="","",L74+J74)</f>
        <v>#VALUE!</v>
      </c>
      <c r="N74" s="7">
        <f>SUM(N73+30)</f>
        <v>46020</v>
      </c>
    </row>
    <row r="75" spans="7:14" x14ac:dyDescent="0.3">
      <c r="G75" s="23"/>
      <c r="H75" s="22">
        <v>45809</v>
      </c>
      <c r="I75" s="4">
        <v>5</v>
      </c>
      <c r="J75" s="5" t="e">
        <f>M74</f>
        <v>#VALUE!</v>
      </c>
      <c r="K75" s="31">
        <f>K74</f>
        <v>1.4999999999999999E-2</v>
      </c>
      <c r="L75" s="5" t="str">
        <f>IFERROR((J75*K75),"")</f>
        <v/>
      </c>
      <c r="M75" s="5" t="e">
        <f>IF(N75="","",L75+J75)</f>
        <v>#VALUE!</v>
      </c>
      <c r="N75" s="7">
        <f>SUM(N74+30)</f>
        <v>46050</v>
      </c>
    </row>
    <row r="76" spans="7:14" x14ac:dyDescent="0.3">
      <c r="G76" s="23"/>
      <c r="H76" s="22"/>
      <c r="I76" s="4"/>
      <c r="J76" s="5"/>
      <c r="K76" s="31"/>
      <c r="L76" s="5"/>
      <c r="M76" s="5"/>
      <c r="N76" s="7"/>
    </row>
    <row r="77" spans="7:14" x14ac:dyDescent="0.3">
      <c r="G77" s="23"/>
      <c r="H77" s="22"/>
      <c r="I77" s="4"/>
      <c r="J77" s="5"/>
      <c r="K77" s="31"/>
      <c r="L77" s="5"/>
      <c r="M77" s="5"/>
      <c r="N77" s="7"/>
    </row>
    <row r="78" spans="7:14" x14ac:dyDescent="0.3">
      <c r="G78" s="23"/>
      <c r="H78" s="22"/>
      <c r="I78" s="4"/>
      <c r="J78" s="5"/>
      <c r="K78" s="31"/>
      <c r="L78" s="5"/>
      <c r="M78" s="5"/>
      <c r="N78" s="7"/>
    </row>
    <row r="79" spans="7:14" x14ac:dyDescent="0.3">
      <c r="G79" s="11" t="str">
        <f>A28</f>
        <v>PETRICK PESSOAL</v>
      </c>
      <c r="H79" s="11" t="s">
        <v>31</v>
      </c>
      <c r="I79" s="11"/>
      <c r="J79" s="11"/>
      <c r="K79" s="11"/>
      <c r="L79" s="11"/>
      <c r="M79" s="12" t="e">
        <f>LARGE(M73:M74,1)</f>
        <v>#VALUE!</v>
      </c>
      <c r="N79" s="8"/>
    </row>
  </sheetData>
  <autoFilter ref="A3:E11" xr:uid="{3312699A-55C3-433A-BC6F-421E08262308}">
    <filterColumn colId="0">
      <filters>
        <filter val="FLÁVIA"/>
      </filters>
    </filterColumn>
  </autoFilter>
  <mergeCells count="5">
    <mergeCell ref="G2:G12"/>
    <mergeCell ref="G19:G28"/>
    <mergeCell ref="G34:G42"/>
    <mergeCell ref="G48:G53"/>
    <mergeCell ref="G60:G64"/>
  </mergeCells>
  <phoneticPr fontId="2" type="noConversion"/>
  <hyperlinks>
    <hyperlink ref="A1" location="'RESUMO GERAL'!A1" display="RACIONAL EMPRESTIMOS E INVESTIMENTO" xr:uid="{0FA20B46-1839-4B53-9E67-4BE8A8A34D21}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1C71D-1CE9-4A60-8166-A0AF5B2485A2}">
  <dimension ref="A1:N42"/>
  <sheetViews>
    <sheetView zoomScale="85" zoomScaleNormal="85" workbookViewId="0">
      <selection activeCell="D12" sqref="D12"/>
    </sheetView>
  </sheetViews>
  <sheetFormatPr defaultRowHeight="14.4" x14ac:dyDescent="0.3"/>
  <cols>
    <col min="1" max="1" width="24.44140625" bestFit="1" customWidth="1"/>
    <col min="2" max="2" width="14.88671875" bestFit="1" customWidth="1"/>
    <col min="3" max="3" width="19.6640625" bestFit="1" customWidth="1"/>
    <col min="4" max="4" width="12.33203125" bestFit="1" customWidth="1"/>
    <col min="5" max="5" width="24.33203125" bestFit="1" customWidth="1"/>
    <col min="7" max="7" width="22.77734375" bestFit="1" customWidth="1"/>
    <col min="8" max="8" width="10" style="4" bestFit="1" customWidth="1"/>
    <col min="9" max="9" width="4.5546875" bestFit="1" customWidth="1"/>
    <col min="10" max="10" width="12" bestFit="1" customWidth="1"/>
    <col min="11" max="11" width="5.44140625" bestFit="1" customWidth="1"/>
    <col min="12" max="12" width="9.44140625" bestFit="1" customWidth="1"/>
    <col min="13" max="13" width="12" bestFit="1" customWidth="1"/>
    <col min="14" max="14" width="11.88671875" bestFit="1" customWidth="1"/>
  </cols>
  <sheetData>
    <row r="1" spans="1:14" x14ac:dyDescent="0.3">
      <c r="A1" s="41" t="s">
        <v>68</v>
      </c>
    </row>
    <row r="2" spans="1:14" x14ac:dyDescent="0.3">
      <c r="G2" s="63" t="s">
        <v>30</v>
      </c>
      <c r="H2" s="8" t="s">
        <v>16</v>
      </c>
      <c r="I2" s="9" t="s">
        <v>11</v>
      </c>
      <c r="J2" s="9" t="s">
        <v>10</v>
      </c>
      <c r="K2" s="9" t="s">
        <v>12</v>
      </c>
      <c r="L2" s="9" t="s">
        <v>27</v>
      </c>
      <c r="M2" s="9" t="s">
        <v>13</v>
      </c>
      <c r="N2" s="9" t="s">
        <v>14</v>
      </c>
    </row>
    <row r="3" spans="1:14" x14ac:dyDescent="0.3">
      <c r="A3" s="55" t="s">
        <v>1</v>
      </c>
      <c r="B3" s="55" t="s">
        <v>2</v>
      </c>
      <c r="C3" s="55" t="s">
        <v>60</v>
      </c>
      <c r="D3" s="55" t="s">
        <v>59</v>
      </c>
      <c r="E3" s="1" t="s">
        <v>4</v>
      </c>
      <c r="G3" s="63"/>
      <c r="H3" s="10" t="s">
        <v>24</v>
      </c>
      <c r="I3" s="4">
        <v>1</v>
      </c>
      <c r="J3" s="5">
        <f>B4</f>
        <v>2000</v>
      </c>
      <c r="K3" s="6">
        <v>0.03</v>
      </c>
      <c r="L3" s="5">
        <f>IFERROR((J3*K3)/30*15," ")</f>
        <v>30</v>
      </c>
      <c r="M3" s="5">
        <f>IF(N3="","",L3+J3)</f>
        <v>2030</v>
      </c>
      <c r="N3" s="7">
        <f>D4</f>
        <v>45924</v>
      </c>
    </row>
    <row r="4" spans="1:14" x14ac:dyDescent="0.3">
      <c r="A4" s="57" t="s">
        <v>71</v>
      </c>
      <c r="B4" s="58">
        <v>2000</v>
      </c>
      <c r="C4" s="57" t="s">
        <v>72</v>
      </c>
      <c r="D4" s="56">
        <v>45924</v>
      </c>
      <c r="E4" s="2" t="s">
        <v>15</v>
      </c>
      <c r="G4" s="63"/>
      <c r="H4" s="10" t="s">
        <v>25</v>
      </c>
      <c r="I4" s="4">
        <v>2</v>
      </c>
      <c r="J4" s="5">
        <f>M3</f>
        <v>2030</v>
      </c>
      <c r="K4" s="6">
        <v>0.03</v>
      </c>
      <c r="L4" s="5">
        <f>IFERROR((J4*K4),"")</f>
        <v>60.9</v>
      </c>
      <c r="M4" s="5">
        <f t="shared" ref="M4:M6" si="0">IF(N4="","",L4+J4)</f>
        <v>2090.9</v>
      </c>
      <c r="N4" s="7">
        <f>SUM(N3+30)</f>
        <v>45954</v>
      </c>
    </row>
    <row r="5" spans="1:14" x14ac:dyDescent="0.3">
      <c r="A5" s="57" t="s">
        <v>71</v>
      </c>
      <c r="B5" s="58">
        <v>1600</v>
      </c>
      <c r="C5" s="57" t="s">
        <v>72</v>
      </c>
      <c r="D5" s="56">
        <v>45931</v>
      </c>
      <c r="E5" s="2" t="s">
        <v>15</v>
      </c>
      <c r="G5" s="63"/>
      <c r="H5" s="10" t="s">
        <v>26</v>
      </c>
      <c r="I5" s="4">
        <v>3</v>
      </c>
      <c r="J5" s="5">
        <f t="shared" ref="J5:J6" si="1">M4</f>
        <v>2090.9</v>
      </c>
      <c r="K5" s="6">
        <v>0.03</v>
      </c>
      <c r="L5" s="5">
        <f t="shared" ref="L5:L6" si="2">IFERROR((J5*K5),"")</f>
        <v>62.727000000000004</v>
      </c>
      <c r="M5" s="5">
        <f t="shared" si="0"/>
        <v>2153.627</v>
      </c>
      <c r="N5" s="7">
        <f t="shared" ref="N5:N6" si="3">SUM(N4+30)</f>
        <v>45984</v>
      </c>
    </row>
    <row r="6" spans="1:14" x14ac:dyDescent="0.3">
      <c r="A6" s="57" t="s">
        <v>73</v>
      </c>
      <c r="B6" s="58">
        <v>600</v>
      </c>
      <c r="C6" s="57" t="s">
        <v>72</v>
      </c>
      <c r="D6" s="56">
        <v>45964</v>
      </c>
      <c r="E6" s="2" t="s">
        <v>15</v>
      </c>
      <c r="G6" s="63"/>
      <c r="H6" s="10" t="s">
        <v>28</v>
      </c>
      <c r="I6" s="4">
        <v>4</v>
      </c>
      <c r="J6" s="5">
        <f t="shared" si="1"/>
        <v>2153.627</v>
      </c>
      <c r="K6" s="6">
        <v>0.03</v>
      </c>
      <c r="L6" s="5">
        <f t="shared" si="2"/>
        <v>64.608809999999991</v>
      </c>
      <c r="M6" s="5">
        <f t="shared" si="0"/>
        <v>2218.2358100000001</v>
      </c>
      <c r="N6" s="7">
        <f t="shared" si="3"/>
        <v>46014</v>
      </c>
    </row>
    <row r="7" spans="1:14" x14ac:dyDescent="0.3">
      <c r="A7" s="2" t="s">
        <v>76</v>
      </c>
      <c r="B7" s="3">
        <v>6500</v>
      </c>
      <c r="C7" s="2" t="s">
        <v>72</v>
      </c>
      <c r="D7" s="43">
        <v>45931</v>
      </c>
      <c r="E7" s="2" t="s">
        <v>15</v>
      </c>
      <c r="G7" s="9" t="s">
        <v>9</v>
      </c>
      <c r="H7" s="11" t="s">
        <v>31</v>
      </c>
      <c r="I7" s="11"/>
      <c r="J7" s="11"/>
      <c r="K7" s="11"/>
      <c r="L7" s="11"/>
      <c r="M7" s="12">
        <f>LARGE(M3:M6,1)</f>
        <v>2218.2358100000001</v>
      </c>
      <c r="N7" s="8"/>
    </row>
    <row r="8" spans="1:14" x14ac:dyDescent="0.3">
      <c r="A8" s="19"/>
      <c r="B8" s="20"/>
      <c r="C8" s="19"/>
      <c r="D8" s="28"/>
      <c r="E8" s="19"/>
      <c r="H8"/>
      <c r="I8" s="4"/>
    </row>
    <row r="9" spans="1:14" x14ac:dyDescent="0.3">
      <c r="A9" s="2" t="s">
        <v>70</v>
      </c>
      <c r="B9" s="3"/>
      <c r="C9" s="2"/>
      <c r="D9" s="42"/>
      <c r="E9" s="2"/>
      <c r="H9"/>
      <c r="I9" s="4"/>
    </row>
    <row r="10" spans="1:14" x14ac:dyDescent="0.3">
      <c r="A10" s="14" t="s">
        <v>37</v>
      </c>
      <c r="B10" s="17">
        <f>SUM(B4:B8)</f>
        <v>10700</v>
      </c>
      <c r="C10" s="18"/>
      <c r="D10" s="14"/>
      <c r="E10" s="14"/>
      <c r="G10" s="63" t="s">
        <v>30</v>
      </c>
      <c r="H10" s="8" t="s">
        <v>16</v>
      </c>
      <c r="I10" s="9" t="s">
        <v>11</v>
      </c>
      <c r="J10" s="9" t="s">
        <v>10</v>
      </c>
      <c r="K10" s="9" t="s">
        <v>12</v>
      </c>
      <c r="L10" s="9" t="s">
        <v>27</v>
      </c>
      <c r="M10" s="9" t="s">
        <v>13</v>
      </c>
      <c r="N10" s="9" t="s">
        <v>14</v>
      </c>
    </row>
    <row r="11" spans="1:14" x14ac:dyDescent="0.3">
      <c r="G11" s="63"/>
      <c r="H11" s="10" t="s">
        <v>24</v>
      </c>
      <c r="I11" s="4">
        <v>1</v>
      </c>
      <c r="J11" s="5">
        <f>B5</f>
        <v>1600</v>
      </c>
      <c r="K11" s="6">
        <v>0.02</v>
      </c>
      <c r="L11" s="5">
        <f>IFERROR((J11*K11)/30*15," ")</f>
        <v>16</v>
      </c>
      <c r="M11" s="5">
        <f>IF(N11="","",L11+J11)</f>
        <v>1616</v>
      </c>
      <c r="N11" s="7">
        <v>45777</v>
      </c>
    </row>
    <row r="12" spans="1:14" x14ac:dyDescent="0.3">
      <c r="G12" s="63"/>
      <c r="H12" s="10" t="s">
        <v>25</v>
      </c>
      <c r="I12" s="4">
        <v>2</v>
      </c>
      <c r="J12" s="5">
        <f>M11</f>
        <v>1616</v>
      </c>
      <c r="K12" s="6">
        <v>0.02</v>
      </c>
      <c r="L12" s="5">
        <f>IFERROR((J12*K12),"")</f>
        <v>32.32</v>
      </c>
      <c r="M12" s="5">
        <f t="shared" ref="M12:M14" si="4">IF(N12="","",L12+J12)</f>
        <v>1648.32</v>
      </c>
      <c r="N12" s="7">
        <f t="shared" ref="N12:N13" si="5">SUM(N11+30)</f>
        <v>45807</v>
      </c>
    </row>
    <row r="13" spans="1:14" x14ac:dyDescent="0.3">
      <c r="G13" s="63"/>
      <c r="H13" s="10" t="s">
        <v>26</v>
      </c>
      <c r="I13" s="4">
        <v>3</v>
      </c>
      <c r="J13" s="5">
        <f t="shared" ref="J13:J14" si="6">M12</f>
        <v>1648.32</v>
      </c>
      <c r="K13" s="6">
        <v>0.02</v>
      </c>
      <c r="L13" s="5">
        <f t="shared" ref="L13:L14" si="7">IFERROR((J13*K13),"")</f>
        <v>32.9664</v>
      </c>
      <c r="M13" s="5">
        <f t="shared" si="4"/>
        <v>1681.2864</v>
      </c>
      <c r="N13" s="7">
        <f t="shared" si="5"/>
        <v>45837</v>
      </c>
    </row>
    <row r="14" spans="1:14" x14ac:dyDescent="0.3">
      <c r="A14" s="16" t="s">
        <v>38</v>
      </c>
      <c r="G14" s="63"/>
      <c r="H14" s="10" t="s">
        <v>28</v>
      </c>
      <c r="I14" s="4">
        <v>4</v>
      </c>
      <c r="J14" s="5">
        <f t="shared" si="6"/>
        <v>1681.2864</v>
      </c>
      <c r="K14" s="6">
        <v>0.02</v>
      </c>
      <c r="L14" s="5">
        <f t="shared" si="7"/>
        <v>33.625728000000002</v>
      </c>
      <c r="M14" s="5">
        <f t="shared" si="4"/>
        <v>1714.9121279999999</v>
      </c>
      <c r="N14" s="7">
        <f t="shared" ref="N14" si="8">SUM(N13+30)</f>
        <v>45867</v>
      </c>
    </row>
    <row r="15" spans="1:14" x14ac:dyDescent="0.3">
      <c r="A15" s="1" t="s">
        <v>1</v>
      </c>
      <c r="B15" s="1" t="s">
        <v>32</v>
      </c>
      <c r="G15" s="9" t="s">
        <v>9</v>
      </c>
      <c r="H15" s="11" t="s">
        <v>31</v>
      </c>
      <c r="I15" s="11"/>
      <c r="J15" s="11"/>
      <c r="K15" s="11"/>
      <c r="L15" s="11"/>
      <c r="M15" s="12">
        <f>M14</f>
        <v>1714.9121279999999</v>
      </c>
      <c r="N15" s="8"/>
    </row>
    <row r="16" spans="1:14" x14ac:dyDescent="0.3">
      <c r="A16" s="2" t="s">
        <v>9</v>
      </c>
      <c r="B16" s="13">
        <f>SUMIF(G:G,A16,M:M)</f>
        <v>4682.1411220437458</v>
      </c>
    </row>
    <row r="17" spans="1:14" x14ac:dyDescent="0.3">
      <c r="A17" s="2" t="s">
        <v>8</v>
      </c>
      <c r="B17" s="13">
        <f>SUMIF(G:G,A17,M:M)</f>
        <v>0</v>
      </c>
      <c r="G17" s="63" t="s">
        <v>30</v>
      </c>
      <c r="H17" s="8" t="s">
        <v>16</v>
      </c>
      <c r="I17" s="9" t="s">
        <v>11</v>
      </c>
      <c r="J17" s="9" t="s">
        <v>10</v>
      </c>
      <c r="K17" s="9" t="s">
        <v>12</v>
      </c>
      <c r="L17" s="9" t="s">
        <v>27</v>
      </c>
      <c r="M17" s="9" t="s">
        <v>13</v>
      </c>
      <c r="N17" s="9" t="s">
        <v>14</v>
      </c>
    </row>
    <row r="18" spans="1:14" x14ac:dyDescent="0.3">
      <c r="A18" s="2" t="s">
        <v>39</v>
      </c>
      <c r="B18" s="13">
        <f>SUMIF(G:G,A18,M:M)</f>
        <v>6999.2877500000004</v>
      </c>
      <c r="G18" s="63"/>
      <c r="H18" s="10" t="s">
        <v>25</v>
      </c>
      <c r="I18" s="4">
        <v>1</v>
      </c>
      <c r="J18" s="5">
        <f>B6</f>
        <v>600</v>
      </c>
      <c r="K18" s="6">
        <v>0.03</v>
      </c>
      <c r="L18" s="5">
        <f>IFERROR((J18*K18)/30*15," ")</f>
        <v>9</v>
      </c>
      <c r="M18" s="5">
        <f>IF(N18="","",L18+J18)</f>
        <v>609</v>
      </c>
      <c r="N18" s="7">
        <f>D6</f>
        <v>45964</v>
      </c>
    </row>
    <row r="19" spans="1:14" x14ac:dyDescent="0.3">
      <c r="A19" s="14" t="s">
        <v>33</v>
      </c>
      <c r="B19" s="15">
        <f>SUM(B16:B18)</f>
        <v>11681.428872043747</v>
      </c>
      <c r="G19" s="63"/>
      <c r="H19" s="10" t="s">
        <v>26</v>
      </c>
      <c r="I19" s="4">
        <v>2</v>
      </c>
      <c r="J19" s="5">
        <f>M18</f>
        <v>609</v>
      </c>
      <c r="K19" s="6">
        <v>0.03</v>
      </c>
      <c r="L19" s="5">
        <f>IFERROR((J19*K19),"")</f>
        <v>18.27</v>
      </c>
      <c r="M19" s="5">
        <f t="shared" ref="M19:M25" si="9">IF(N19="","",L19+J19)</f>
        <v>627.27</v>
      </c>
      <c r="N19" s="7">
        <f t="shared" ref="N19:N25" si="10">SUM(N18+30)</f>
        <v>45994</v>
      </c>
    </row>
    <row r="20" spans="1:14" x14ac:dyDescent="0.3">
      <c r="G20" s="63"/>
      <c r="H20" s="10" t="s">
        <v>28</v>
      </c>
      <c r="I20" s="4">
        <v>3</v>
      </c>
      <c r="J20" s="5">
        <f t="shared" ref="J20:J25" si="11">M19</f>
        <v>627.27</v>
      </c>
      <c r="K20" s="6">
        <v>0.03</v>
      </c>
      <c r="L20" s="5">
        <f t="shared" ref="L20:L25" si="12">IFERROR((J20*K20),"")</f>
        <v>18.818099999999998</v>
      </c>
      <c r="M20" s="5">
        <f t="shared" si="9"/>
        <v>646.08809999999994</v>
      </c>
      <c r="N20" s="7">
        <f t="shared" si="10"/>
        <v>46024</v>
      </c>
    </row>
    <row r="21" spans="1:14" x14ac:dyDescent="0.3">
      <c r="G21" s="63"/>
      <c r="H21" s="10" t="s">
        <v>29</v>
      </c>
      <c r="I21" s="4">
        <v>4</v>
      </c>
      <c r="J21" s="5">
        <f t="shared" si="11"/>
        <v>646.08809999999994</v>
      </c>
      <c r="K21" s="6">
        <v>0.03</v>
      </c>
      <c r="L21" s="5">
        <f t="shared" si="12"/>
        <v>19.382642999999998</v>
      </c>
      <c r="M21" s="5">
        <f t="shared" si="9"/>
        <v>665.47074299999997</v>
      </c>
      <c r="N21" s="7">
        <f t="shared" si="10"/>
        <v>46054</v>
      </c>
    </row>
    <row r="22" spans="1:14" x14ac:dyDescent="0.3">
      <c r="G22" s="63"/>
      <c r="H22" s="10" t="s">
        <v>17</v>
      </c>
      <c r="I22" s="4">
        <v>5</v>
      </c>
      <c r="J22" s="5">
        <f t="shared" si="11"/>
        <v>665.47074299999997</v>
      </c>
      <c r="K22" s="6">
        <v>0.03</v>
      </c>
      <c r="L22" s="5">
        <f t="shared" si="12"/>
        <v>19.964122289999999</v>
      </c>
      <c r="M22" s="5">
        <f t="shared" si="9"/>
        <v>685.43486528999995</v>
      </c>
      <c r="N22" s="7">
        <f t="shared" si="10"/>
        <v>46084</v>
      </c>
    </row>
    <row r="23" spans="1:14" x14ac:dyDescent="0.3">
      <c r="G23" s="63"/>
      <c r="H23" s="10" t="s">
        <v>18</v>
      </c>
      <c r="I23" s="4">
        <v>6</v>
      </c>
      <c r="J23" s="5">
        <f t="shared" si="11"/>
        <v>685.43486528999995</v>
      </c>
      <c r="K23" s="6">
        <v>0.03</v>
      </c>
      <c r="L23" s="5">
        <f t="shared" si="12"/>
        <v>20.563045958699998</v>
      </c>
      <c r="M23" s="5">
        <f t="shared" si="9"/>
        <v>705.99791124869989</v>
      </c>
      <c r="N23" s="7">
        <f t="shared" si="10"/>
        <v>46114</v>
      </c>
    </row>
    <row r="24" spans="1:14" x14ac:dyDescent="0.3">
      <c r="G24" s="63"/>
      <c r="H24" s="10" t="s">
        <v>19</v>
      </c>
      <c r="I24" s="4">
        <v>7</v>
      </c>
      <c r="J24" s="5">
        <f t="shared" si="11"/>
        <v>705.99791124869989</v>
      </c>
      <c r="K24" s="6">
        <v>0.03</v>
      </c>
      <c r="L24" s="5">
        <f t="shared" si="12"/>
        <v>21.179937337460995</v>
      </c>
      <c r="M24" s="5">
        <f t="shared" si="9"/>
        <v>727.17784858616085</v>
      </c>
      <c r="N24" s="7">
        <f t="shared" si="10"/>
        <v>46144</v>
      </c>
    </row>
    <row r="25" spans="1:14" x14ac:dyDescent="0.3">
      <c r="G25" s="63"/>
      <c r="H25" s="10" t="s">
        <v>20</v>
      </c>
      <c r="I25" s="4">
        <v>8</v>
      </c>
      <c r="J25" s="5">
        <f t="shared" si="11"/>
        <v>727.17784858616085</v>
      </c>
      <c r="K25" s="6">
        <v>0.03</v>
      </c>
      <c r="L25" s="5">
        <f t="shared" si="12"/>
        <v>21.815335457584826</v>
      </c>
      <c r="M25" s="5">
        <f t="shared" si="9"/>
        <v>748.99318404374571</v>
      </c>
      <c r="N25" s="7">
        <f t="shared" si="10"/>
        <v>46174</v>
      </c>
    </row>
    <row r="26" spans="1:14" x14ac:dyDescent="0.3">
      <c r="G26" s="9" t="s">
        <v>9</v>
      </c>
      <c r="H26" s="11" t="s">
        <v>31</v>
      </c>
      <c r="I26" s="11"/>
      <c r="J26" s="11"/>
      <c r="K26" s="11"/>
      <c r="L26" s="11"/>
      <c r="M26" s="12">
        <f>LARGE(M18:M25,1)</f>
        <v>748.99318404374571</v>
      </c>
      <c r="N26" s="8"/>
    </row>
    <row r="28" spans="1:14" x14ac:dyDescent="0.3">
      <c r="G28" s="63" t="s">
        <v>30</v>
      </c>
      <c r="H28" s="8" t="s">
        <v>16</v>
      </c>
      <c r="I28" s="9" t="s">
        <v>11</v>
      </c>
      <c r="J28" s="9" t="s">
        <v>10</v>
      </c>
      <c r="K28" s="9" t="s">
        <v>12</v>
      </c>
      <c r="L28" s="9" t="s">
        <v>27</v>
      </c>
      <c r="M28" s="9" t="s">
        <v>13</v>
      </c>
      <c r="N28" s="9" t="s">
        <v>14</v>
      </c>
    </row>
    <row r="29" spans="1:14" x14ac:dyDescent="0.3">
      <c r="G29" s="63"/>
      <c r="H29" s="10" t="s">
        <v>24</v>
      </c>
      <c r="I29" s="4">
        <v>1</v>
      </c>
      <c r="J29" s="5">
        <f>B7</f>
        <v>6500</v>
      </c>
      <c r="K29" s="6">
        <v>0.03</v>
      </c>
      <c r="L29" s="5">
        <f>IFERROR((J29*K29)/30*15," ")</f>
        <v>97.5</v>
      </c>
      <c r="M29" s="5">
        <f>IF(N29="","",L29+J29)</f>
        <v>6597.5</v>
      </c>
      <c r="N29" s="7">
        <v>45899</v>
      </c>
    </row>
    <row r="30" spans="1:14" x14ac:dyDescent="0.3">
      <c r="G30" s="63"/>
      <c r="H30" s="10" t="s">
        <v>25</v>
      </c>
      <c r="I30" s="4">
        <v>2</v>
      </c>
      <c r="J30" s="5">
        <f>M29</f>
        <v>6597.5</v>
      </c>
      <c r="K30" s="6">
        <v>0.03</v>
      </c>
      <c r="L30" s="5">
        <f>IFERROR((J30*K30),"")</f>
        <v>197.92499999999998</v>
      </c>
      <c r="M30" s="5">
        <f>IF(N30="","",L30+J30)</f>
        <v>6795.4250000000002</v>
      </c>
      <c r="N30" s="7">
        <v>45930</v>
      </c>
    </row>
    <row r="31" spans="1:14" x14ac:dyDescent="0.3">
      <c r="G31" s="63"/>
      <c r="H31" s="10" t="s">
        <v>26</v>
      </c>
      <c r="I31" s="4">
        <v>3</v>
      </c>
      <c r="J31" s="5">
        <f>M30</f>
        <v>6795.4250000000002</v>
      </c>
      <c r="K31" s="6">
        <v>0.03</v>
      </c>
      <c r="L31" s="5">
        <f>IFERROR((J31*K31),"")</f>
        <v>203.86275000000001</v>
      </c>
      <c r="M31" s="5">
        <f>IF(N31="","",L31+J31)</f>
        <v>6999.2877500000004</v>
      </c>
      <c r="N31" s="7">
        <v>45960</v>
      </c>
    </row>
    <row r="32" spans="1:14" x14ac:dyDescent="0.3">
      <c r="G32" s="63"/>
      <c r="H32" s="10" t="s">
        <v>28</v>
      </c>
      <c r="I32" s="4">
        <v>4</v>
      </c>
      <c r="J32" s="5">
        <f>M31</f>
        <v>6999.2877500000004</v>
      </c>
      <c r="K32" s="6">
        <v>0.03</v>
      </c>
      <c r="L32" s="5">
        <f>IFERROR((J32*K32),"")</f>
        <v>209.9786325</v>
      </c>
      <c r="M32" s="5">
        <f>IF(N32="","",L32+J32)</f>
        <v>7209.2663825</v>
      </c>
      <c r="N32" s="7">
        <v>45991</v>
      </c>
    </row>
    <row r="33" spans="7:14" x14ac:dyDescent="0.3">
      <c r="G33" s="63"/>
      <c r="H33" s="10" t="s">
        <v>29</v>
      </c>
      <c r="I33" s="4">
        <v>5</v>
      </c>
      <c r="J33" s="5">
        <f>M30</f>
        <v>6795.4250000000002</v>
      </c>
      <c r="K33" s="6">
        <v>0.03</v>
      </c>
      <c r="L33" s="5">
        <f>IFERROR((J33*K33),"")</f>
        <v>203.86275000000001</v>
      </c>
      <c r="M33" s="5">
        <f>IF(N33="","",L33+J33)</f>
        <v>6999.2877500000004</v>
      </c>
      <c r="N33" s="7">
        <v>46021</v>
      </c>
    </row>
    <row r="34" spans="7:14" x14ac:dyDescent="0.3">
      <c r="G34" s="11" t="str">
        <f>'EMPRÉSTIMO EXPOFEIRASCO'!A18</f>
        <v>PETRICK (Investidor) Mãe</v>
      </c>
      <c r="H34" s="11" t="s">
        <v>31</v>
      </c>
      <c r="I34" s="11"/>
      <c r="J34" s="11"/>
      <c r="K34" s="11"/>
      <c r="L34" s="11"/>
      <c r="M34" s="12">
        <f>LARGE(M33:M33,1)</f>
        <v>6999.2877500000004</v>
      </c>
      <c r="N34" s="8"/>
    </row>
    <row r="37" spans="7:14" x14ac:dyDescent="0.3">
      <c r="G37" s="63" t="s">
        <v>30</v>
      </c>
      <c r="H37" s="8" t="s">
        <v>16</v>
      </c>
      <c r="I37" s="9" t="s">
        <v>11</v>
      </c>
      <c r="J37" s="9" t="s">
        <v>10</v>
      </c>
      <c r="K37" s="9" t="s">
        <v>12</v>
      </c>
      <c r="L37" s="9" t="s">
        <v>27</v>
      </c>
      <c r="M37" s="9" t="s">
        <v>13</v>
      </c>
      <c r="N37" s="9" t="s">
        <v>14</v>
      </c>
    </row>
    <row r="38" spans="7:14" x14ac:dyDescent="0.3">
      <c r="G38" s="63"/>
      <c r="H38" s="10" t="s">
        <v>24</v>
      </c>
      <c r="I38" s="4">
        <v>1</v>
      </c>
      <c r="J38" s="5">
        <f>B8</f>
        <v>0</v>
      </c>
      <c r="K38" s="6">
        <v>0.03</v>
      </c>
      <c r="L38" s="5">
        <f>IFERROR((J38*K38)/30*15," ")</f>
        <v>0</v>
      </c>
      <c r="M38" s="5">
        <f>IF(N38="","",L38+J38)</f>
        <v>0</v>
      </c>
      <c r="N38" s="7">
        <v>45960</v>
      </c>
    </row>
    <row r="39" spans="7:14" x14ac:dyDescent="0.3">
      <c r="G39" s="63"/>
      <c r="H39" s="10" t="s">
        <v>25</v>
      </c>
      <c r="I39" s="4">
        <v>2</v>
      </c>
      <c r="J39" s="5">
        <f>M38</f>
        <v>0</v>
      </c>
      <c r="K39" s="6">
        <v>0.03</v>
      </c>
      <c r="L39" s="5">
        <f>IFERROR((J39*K39),"")</f>
        <v>0</v>
      </c>
      <c r="M39" s="5">
        <f>IF(N39="","",L39+J39)</f>
        <v>0</v>
      </c>
      <c r="N39" s="7">
        <v>45930</v>
      </c>
    </row>
    <row r="40" spans="7:14" x14ac:dyDescent="0.3">
      <c r="G40" s="63"/>
      <c r="H40" s="10" t="s">
        <v>26</v>
      </c>
      <c r="I40" s="4">
        <v>3</v>
      </c>
      <c r="J40" s="5">
        <f>M39</f>
        <v>0</v>
      </c>
      <c r="K40" s="6">
        <v>0.03</v>
      </c>
      <c r="L40" s="5">
        <f>IFERROR((J40*K40),"")</f>
        <v>0</v>
      </c>
      <c r="M40" s="5">
        <f>IF(N40="","",L40+J40)</f>
        <v>0</v>
      </c>
      <c r="N40" s="7">
        <v>45960</v>
      </c>
    </row>
    <row r="41" spans="7:14" x14ac:dyDescent="0.3">
      <c r="G41" s="63"/>
      <c r="H41" s="10" t="s">
        <v>28</v>
      </c>
      <c r="I41" s="4">
        <v>4</v>
      </c>
      <c r="J41" s="5">
        <f>M40</f>
        <v>0</v>
      </c>
      <c r="K41" s="6">
        <v>0.03</v>
      </c>
      <c r="L41" s="5">
        <f>IFERROR((J41*K41),"")</f>
        <v>0</v>
      </c>
      <c r="M41" s="5">
        <f>IF(N41="","",L41+J41)</f>
        <v>0</v>
      </c>
      <c r="N41" s="7">
        <v>45991</v>
      </c>
    </row>
    <row r="42" spans="7:14" x14ac:dyDescent="0.3">
      <c r="G42" s="11" t="str">
        <f>A16</f>
        <v>FLAVIA</v>
      </c>
      <c r="H42" s="11" t="s">
        <v>31</v>
      </c>
      <c r="I42" s="11"/>
      <c r="J42" s="11"/>
      <c r="K42" s="11"/>
      <c r="L42" s="11"/>
      <c r="M42" s="12">
        <f>M41</f>
        <v>0</v>
      </c>
      <c r="N42" s="8"/>
    </row>
  </sheetData>
  <mergeCells count="5">
    <mergeCell ref="G17:G25"/>
    <mergeCell ref="G28:G33"/>
    <mergeCell ref="G37:G41"/>
    <mergeCell ref="G2:G6"/>
    <mergeCell ref="G10:G14"/>
  </mergeCells>
  <hyperlinks>
    <hyperlink ref="A1" location="'RESUMO GERAL'!A1" display="RACIONAL EMPRESTIMOS E INVESTIMENTO" xr:uid="{FF88E6FB-02BD-4036-BE81-4441B5585139}"/>
  </hyperlink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33397-04FD-4650-9881-EA373702F56E}">
  <dimension ref="A1:N42"/>
  <sheetViews>
    <sheetView zoomScale="85" zoomScaleNormal="85" workbookViewId="0">
      <selection activeCell="E30" sqref="E30"/>
    </sheetView>
  </sheetViews>
  <sheetFormatPr defaultRowHeight="14.4" x14ac:dyDescent="0.3"/>
  <cols>
    <col min="1" max="1" width="24.44140625" bestFit="1" customWidth="1"/>
    <col min="2" max="2" width="14.88671875" bestFit="1" customWidth="1"/>
    <col min="3" max="3" width="20.5546875" bestFit="1" customWidth="1"/>
    <col min="4" max="4" width="34.21875" bestFit="1" customWidth="1"/>
    <col min="5" max="5" width="53.21875" bestFit="1" customWidth="1"/>
    <col min="7" max="7" width="22.77734375" bestFit="1" customWidth="1"/>
    <col min="8" max="8" width="10" style="4" bestFit="1" customWidth="1"/>
    <col min="9" max="9" width="4.5546875" bestFit="1" customWidth="1"/>
    <col min="10" max="10" width="12" bestFit="1" customWidth="1"/>
    <col min="11" max="11" width="5.44140625" bestFit="1" customWidth="1"/>
    <col min="12" max="12" width="11" bestFit="1" customWidth="1"/>
    <col min="13" max="13" width="12" bestFit="1" customWidth="1"/>
    <col min="14" max="14" width="11.88671875" bestFit="1" customWidth="1"/>
  </cols>
  <sheetData>
    <row r="1" spans="1:14" x14ac:dyDescent="0.3">
      <c r="A1" s="41" t="s">
        <v>68</v>
      </c>
    </row>
    <row r="2" spans="1:14" x14ac:dyDescent="0.3">
      <c r="G2" s="63" t="s">
        <v>30</v>
      </c>
      <c r="H2" s="8" t="s">
        <v>16</v>
      </c>
      <c r="I2" s="9" t="s">
        <v>11</v>
      </c>
      <c r="J2" s="9" t="s">
        <v>10</v>
      </c>
      <c r="K2" s="9" t="s">
        <v>12</v>
      </c>
      <c r="L2" s="9" t="s">
        <v>27</v>
      </c>
      <c r="M2" s="9" t="s">
        <v>13</v>
      </c>
      <c r="N2" s="9" t="s">
        <v>14</v>
      </c>
    </row>
    <row r="3" spans="1:14" x14ac:dyDescent="0.3">
      <c r="A3" s="55" t="s">
        <v>1</v>
      </c>
      <c r="B3" s="55" t="s">
        <v>2</v>
      </c>
      <c r="C3" s="55" t="s">
        <v>60</v>
      </c>
      <c r="D3" s="55" t="s">
        <v>59</v>
      </c>
      <c r="E3" s="1" t="s">
        <v>4</v>
      </c>
      <c r="G3" s="63"/>
      <c r="H3" s="10" t="s">
        <v>24</v>
      </c>
      <c r="I3" s="4">
        <v>1</v>
      </c>
      <c r="J3" s="5">
        <f>B4</f>
        <v>54000</v>
      </c>
      <c r="K3" s="6">
        <v>0.03</v>
      </c>
      <c r="L3" s="5">
        <f>IFERROR((J3*K3)/30*15," ")</f>
        <v>810</v>
      </c>
      <c r="M3" s="5">
        <f>IF(N3="","",L3+J3)</f>
        <v>54810</v>
      </c>
      <c r="N3" s="7">
        <f>D4</f>
        <v>46094</v>
      </c>
    </row>
    <row r="4" spans="1:14" x14ac:dyDescent="0.3">
      <c r="A4" s="57" t="s">
        <v>99</v>
      </c>
      <c r="B4" s="58">
        <v>54000</v>
      </c>
      <c r="C4" s="57" t="s">
        <v>101</v>
      </c>
      <c r="D4" s="59">
        <v>46094</v>
      </c>
      <c r="E4" s="2" t="s">
        <v>100</v>
      </c>
      <c r="G4" s="63"/>
      <c r="H4" s="10" t="s">
        <v>25</v>
      </c>
      <c r="I4" s="4">
        <v>2</v>
      </c>
      <c r="J4" s="5">
        <f>M3</f>
        <v>54810</v>
      </c>
      <c r="K4" s="6">
        <v>0.03</v>
      </c>
      <c r="L4" s="5">
        <f>IFERROR((J4*K4),"")</f>
        <v>1644.3</v>
      </c>
      <c r="M4" s="5">
        <f t="shared" ref="M4:M6" si="0">IF(N4="","",L4+J4)</f>
        <v>56454.3</v>
      </c>
      <c r="N4" s="7">
        <f>SUM(N3+30)</f>
        <v>46124</v>
      </c>
    </row>
    <row r="5" spans="1:14" x14ac:dyDescent="0.3">
      <c r="A5" s="57" t="s">
        <v>61</v>
      </c>
      <c r="B5" s="58">
        <v>55000</v>
      </c>
      <c r="C5" s="57" t="s">
        <v>102</v>
      </c>
      <c r="D5" s="59">
        <v>45931</v>
      </c>
      <c r="E5" s="2" t="s">
        <v>104</v>
      </c>
      <c r="G5" s="63"/>
      <c r="H5" s="10" t="s">
        <v>26</v>
      </c>
      <c r="I5" s="4">
        <v>3</v>
      </c>
      <c r="J5" s="5">
        <f t="shared" ref="J5:J6" si="1">M4</f>
        <v>56454.3</v>
      </c>
      <c r="K5" s="6">
        <v>0.03</v>
      </c>
      <c r="L5" s="5">
        <f t="shared" ref="L5:L6" si="2">IFERROR((J5*K5),"")</f>
        <v>1693.6290000000001</v>
      </c>
      <c r="M5" s="5">
        <f t="shared" si="0"/>
        <v>58147.929000000004</v>
      </c>
      <c r="N5" s="7">
        <f t="shared" ref="N5:N6" si="3">SUM(N4+30)</f>
        <v>46154</v>
      </c>
    </row>
    <row r="6" spans="1:14" x14ac:dyDescent="0.3">
      <c r="A6" s="57" t="s">
        <v>42</v>
      </c>
      <c r="B6" s="58">
        <v>54000</v>
      </c>
      <c r="C6" s="57" t="s">
        <v>103</v>
      </c>
      <c r="D6" s="59">
        <v>45964</v>
      </c>
      <c r="E6" s="2" t="s">
        <v>15</v>
      </c>
      <c r="G6" s="63"/>
      <c r="H6" s="10" t="s">
        <v>28</v>
      </c>
      <c r="I6" s="4">
        <v>4</v>
      </c>
      <c r="J6" s="5">
        <f t="shared" si="1"/>
        <v>58147.929000000004</v>
      </c>
      <c r="K6" s="6">
        <v>0.03</v>
      </c>
      <c r="L6" s="5">
        <f t="shared" si="2"/>
        <v>1744.43787</v>
      </c>
      <c r="M6" s="5">
        <f t="shared" si="0"/>
        <v>59892.366870000005</v>
      </c>
      <c r="N6" s="7">
        <f t="shared" si="3"/>
        <v>46184</v>
      </c>
    </row>
    <row r="7" spans="1:14" x14ac:dyDescent="0.3">
      <c r="A7" s="2"/>
      <c r="B7" s="3"/>
      <c r="C7" s="2"/>
      <c r="D7" s="60">
        <v>45931</v>
      </c>
      <c r="E7" s="2" t="s">
        <v>15</v>
      </c>
      <c r="G7" s="9" t="s">
        <v>9</v>
      </c>
      <c r="H7" s="11" t="s">
        <v>31</v>
      </c>
      <c r="I7" s="11"/>
      <c r="J7" s="11"/>
      <c r="K7" s="11"/>
      <c r="L7" s="11"/>
      <c r="M7" s="12">
        <f>LARGE(M3:M6,1)</f>
        <v>59892.366870000005</v>
      </c>
      <c r="N7" s="8"/>
    </row>
    <row r="8" spans="1:14" x14ac:dyDescent="0.3">
      <c r="A8" s="19"/>
      <c r="B8" s="20"/>
      <c r="C8" s="19"/>
      <c r="D8" s="28"/>
      <c r="E8" s="19"/>
      <c r="H8"/>
      <c r="I8" s="4"/>
    </row>
    <row r="9" spans="1:14" x14ac:dyDescent="0.3">
      <c r="A9" s="2"/>
      <c r="B9" s="3"/>
      <c r="C9" s="2"/>
      <c r="D9" s="42"/>
      <c r="E9" s="2"/>
      <c r="H9"/>
      <c r="I9" s="4"/>
    </row>
    <row r="10" spans="1:14" x14ac:dyDescent="0.3">
      <c r="A10" s="14" t="s">
        <v>37</v>
      </c>
      <c r="B10" s="17">
        <f>SUM(B4:B8)</f>
        <v>163000</v>
      </c>
      <c r="C10" s="18"/>
      <c r="D10" s="14"/>
      <c r="E10" s="14"/>
      <c r="G10" s="63" t="s">
        <v>30</v>
      </c>
      <c r="H10" s="8" t="s">
        <v>16</v>
      </c>
      <c r="I10" s="9" t="s">
        <v>11</v>
      </c>
      <c r="J10" s="9" t="s">
        <v>10</v>
      </c>
      <c r="K10" s="9" t="s">
        <v>12</v>
      </c>
      <c r="L10" s="9" t="s">
        <v>27</v>
      </c>
      <c r="M10" s="9" t="s">
        <v>13</v>
      </c>
      <c r="N10" s="9" t="s">
        <v>14</v>
      </c>
    </row>
    <row r="11" spans="1:14" x14ac:dyDescent="0.3">
      <c r="G11" s="63"/>
      <c r="H11" s="10" t="s">
        <v>24</v>
      </c>
      <c r="I11" s="4">
        <v>1</v>
      </c>
      <c r="J11" s="5">
        <f>B5</f>
        <v>55000</v>
      </c>
      <c r="K11" s="6">
        <v>0.02</v>
      </c>
      <c r="L11" s="5">
        <f>IFERROR((J11*K11)/30*15," ")</f>
        <v>550</v>
      </c>
      <c r="M11" s="5">
        <f>IF(N11="","",L11+J11)</f>
        <v>55550</v>
      </c>
      <c r="N11" s="7">
        <v>45777</v>
      </c>
    </row>
    <row r="12" spans="1:14" x14ac:dyDescent="0.3">
      <c r="G12" s="63"/>
      <c r="H12" s="10" t="s">
        <v>25</v>
      </c>
      <c r="I12" s="4">
        <v>2</v>
      </c>
      <c r="J12" s="5">
        <f>M11</f>
        <v>55550</v>
      </c>
      <c r="K12" s="6">
        <v>0.02</v>
      </c>
      <c r="L12" s="5">
        <f>IFERROR((J12*K12),"")</f>
        <v>1111</v>
      </c>
      <c r="M12" s="5">
        <f t="shared" ref="M12:M14" si="4">IF(N12="","",L12+J12)</f>
        <v>56661</v>
      </c>
      <c r="N12" s="7">
        <f t="shared" ref="N12:N13" si="5">SUM(N11+30)</f>
        <v>45807</v>
      </c>
    </row>
    <row r="13" spans="1:14" x14ac:dyDescent="0.3">
      <c r="G13" s="63"/>
      <c r="H13" s="10" t="s">
        <v>26</v>
      </c>
      <c r="I13" s="4">
        <v>3</v>
      </c>
      <c r="J13" s="5">
        <f t="shared" ref="J13:J14" si="6">M12</f>
        <v>56661</v>
      </c>
      <c r="K13" s="6">
        <v>0.02</v>
      </c>
      <c r="L13" s="5">
        <f t="shared" ref="L13:L14" si="7">IFERROR((J13*K13),"")</f>
        <v>1133.22</v>
      </c>
      <c r="M13" s="5">
        <f t="shared" si="4"/>
        <v>57794.22</v>
      </c>
      <c r="N13" s="7">
        <f t="shared" si="5"/>
        <v>45837</v>
      </c>
    </row>
    <row r="14" spans="1:14" x14ac:dyDescent="0.3">
      <c r="A14" s="16" t="s">
        <v>38</v>
      </c>
      <c r="G14" s="63"/>
      <c r="H14" s="10" t="s">
        <v>28</v>
      </c>
      <c r="I14" s="4">
        <v>4</v>
      </c>
      <c r="J14" s="5">
        <f t="shared" si="6"/>
        <v>57794.22</v>
      </c>
      <c r="K14" s="6">
        <v>0.02</v>
      </c>
      <c r="L14" s="5">
        <f t="shared" si="7"/>
        <v>1155.8844000000001</v>
      </c>
      <c r="M14" s="5">
        <f t="shared" si="4"/>
        <v>58950.104400000004</v>
      </c>
      <c r="N14" s="7">
        <f t="shared" ref="N14" si="8">SUM(N13+30)</f>
        <v>45867</v>
      </c>
    </row>
    <row r="15" spans="1:14" x14ac:dyDescent="0.3">
      <c r="A15" s="1" t="s">
        <v>1</v>
      </c>
      <c r="B15" s="1" t="s">
        <v>32</v>
      </c>
      <c r="G15" s="9" t="s">
        <v>9</v>
      </c>
      <c r="H15" s="11" t="s">
        <v>31</v>
      </c>
      <c r="I15" s="11"/>
      <c r="J15" s="11"/>
      <c r="K15" s="11"/>
      <c r="L15" s="11"/>
      <c r="M15" s="12">
        <f>M14</f>
        <v>58950.104400000004</v>
      </c>
      <c r="N15" s="8"/>
    </row>
    <row r="16" spans="1:14" x14ac:dyDescent="0.3">
      <c r="A16" s="2"/>
      <c r="B16" s="13">
        <f>SUMIF(G:G,A16,M:M)</f>
        <v>0</v>
      </c>
    </row>
    <row r="17" spans="1:14" x14ac:dyDescent="0.3">
      <c r="A17" s="2"/>
      <c r="B17" s="13">
        <f>SUMIF(G:G,A17,M:M)</f>
        <v>0</v>
      </c>
      <c r="G17" s="63" t="s">
        <v>30</v>
      </c>
      <c r="H17" s="8" t="s">
        <v>16</v>
      </c>
      <c r="I17" s="9" t="s">
        <v>11</v>
      </c>
      <c r="J17" s="9" t="s">
        <v>10</v>
      </c>
      <c r="K17" s="9" t="s">
        <v>12</v>
      </c>
      <c r="L17" s="9" t="s">
        <v>27</v>
      </c>
      <c r="M17" s="9" t="s">
        <v>13</v>
      </c>
      <c r="N17" s="9" t="s">
        <v>14</v>
      </c>
    </row>
    <row r="18" spans="1:14" x14ac:dyDescent="0.3">
      <c r="A18" s="2"/>
      <c r="B18" s="13">
        <f>SUMIF(G:G,A18,M:M)</f>
        <v>0</v>
      </c>
      <c r="G18" s="63"/>
      <c r="H18" s="10" t="s">
        <v>25</v>
      </c>
      <c r="I18" s="4">
        <v>1</v>
      </c>
      <c r="J18" s="5">
        <f>B6</f>
        <v>54000</v>
      </c>
      <c r="K18" s="6">
        <v>0.03</v>
      </c>
      <c r="L18" s="5">
        <f>IFERROR((J18*K18)/30*15," ")</f>
        <v>810</v>
      </c>
      <c r="M18" s="5">
        <f>IF(N18="","",L18+J18)</f>
        <v>54810</v>
      </c>
      <c r="N18" s="7">
        <f>D6</f>
        <v>45964</v>
      </c>
    </row>
    <row r="19" spans="1:14" x14ac:dyDescent="0.3">
      <c r="A19" s="14" t="s">
        <v>33</v>
      </c>
      <c r="B19" s="15">
        <f>SUM(B16:B18)</f>
        <v>0</v>
      </c>
      <c r="G19" s="63"/>
      <c r="H19" s="10" t="s">
        <v>26</v>
      </c>
      <c r="I19" s="4">
        <v>2</v>
      </c>
      <c r="J19" s="5">
        <f>M18</f>
        <v>54810</v>
      </c>
      <c r="K19" s="6">
        <v>0.03</v>
      </c>
      <c r="L19" s="5">
        <f>IFERROR((J19*K19),"")</f>
        <v>1644.3</v>
      </c>
      <c r="M19" s="5">
        <f t="shared" ref="M19:M25" si="9">IF(N19="","",L19+J19)</f>
        <v>56454.3</v>
      </c>
      <c r="N19" s="7">
        <f t="shared" ref="N19:N25" si="10">SUM(N18+30)</f>
        <v>45994</v>
      </c>
    </row>
    <row r="20" spans="1:14" x14ac:dyDescent="0.3">
      <c r="G20" s="63"/>
      <c r="H20" s="10" t="s">
        <v>28</v>
      </c>
      <c r="I20" s="4">
        <v>3</v>
      </c>
      <c r="J20" s="5">
        <f t="shared" ref="J20:J25" si="11">M19</f>
        <v>56454.3</v>
      </c>
      <c r="K20" s="6">
        <v>0.03</v>
      </c>
      <c r="L20" s="5">
        <f t="shared" ref="L20:L25" si="12">IFERROR((J20*K20),"")</f>
        <v>1693.6290000000001</v>
      </c>
      <c r="M20" s="5">
        <f t="shared" si="9"/>
        <v>58147.929000000004</v>
      </c>
      <c r="N20" s="7">
        <f t="shared" si="10"/>
        <v>46024</v>
      </c>
    </row>
    <row r="21" spans="1:14" x14ac:dyDescent="0.3">
      <c r="G21" s="63"/>
      <c r="H21" s="10" t="s">
        <v>29</v>
      </c>
      <c r="I21" s="4">
        <v>4</v>
      </c>
      <c r="J21" s="5">
        <f t="shared" si="11"/>
        <v>58147.929000000004</v>
      </c>
      <c r="K21" s="6">
        <v>0.03</v>
      </c>
      <c r="L21" s="5">
        <f t="shared" si="12"/>
        <v>1744.43787</v>
      </c>
      <c r="M21" s="5">
        <f t="shared" si="9"/>
        <v>59892.366870000005</v>
      </c>
      <c r="N21" s="7">
        <f t="shared" si="10"/>
        <v>46054</v>
      </c>
    </row>
    <row r="22" spans="1:14" x14ac:dyDescent="0.3">
      <c r="G22" s="63"/>
      <c r="H22" s="10" t="s">
        <v>17</v>
      </c>
      <c r="I22" s="4">
        <v>5</v>
      </c>
      <c r="J22" s="5">
        <f t="shared" si="11"/>
        <v>59892.366870000005</v>
      </c>
      <c r="K22" s="6">
        <v>0.03</v>
      </c>
      <c r="L22" s="5">
        <f t="shared" si="12"/>
        <v>1796.7710061</v>
      </c>
      <c r="M22" s="5">
        <f t="shared" si="9"/>
        <v>61689.137876100009</v>
      </c>
      <c r="N22" s="7">
        <f t="shared" si="10"/>
        <v>46084</v>
      </c>
    </row>
    <row r="23" spans="1:14" x14ac:dyDescent="0.3">
      <c r="G23" s="63"/>
      <c r="H23" s="10" t="s">
        <v>18</v>
      </c>
      <c r="I23" s="4">
        <v>6</v>
      </c>
      <c r="J23" s="5">
        <f t="shared" si="11"/>
        <v>61689.137876100009</v>
      </c>
      <c r="K23" s="6">
        <v>0.03</v>
      </c>
      <c r="L23" s="5">
        <f t="shared" si="12"/>
        <v>1850.6741362830003</v>
      </c>
      <c r="M23" s="5">
        <f t="shared" si="9"/>
        <v>63539.812012383009</v>
      </c>
      <c r="N23" s="7">
        <f t="shared" si="10"/>
        <v>46114</v>
      </c>
    </row>
    <row r="24" spans="1:14" x14ac:dyDescent="0.3">
      <c r="G24" s="63"/>
      <c r="H24" s="10" t="s">
        <v>19</v>
      </c>
      <c r="I24" s="4">
        <v>7</v>
      </c>
      <c r="J24" s="5">
        <f t="shared" si="11"/>
        <v>63539.812012383009</v>
      </c>
      <c r="K24" s="6">
        <v>0.03</v>
      </c>
      <c r="L24" s="5">
        <f t="shared" si="12"/>
        <v>1906.1943603714901</v>
      </c>
      <c r="M24" s="5">
        <f t="shared" si="9"/>
        <v>65446.006372754498</v>
      </c>
      <c r="N24" s="7">
        <f t="shared" si="10"/>
        <v>46144</v>
      </c>
    </row>
    <row r="25" spans="1:14" x14ac:dyDescent="0.3">
      <c r="G25" s="63"/>
      <c r="H25" s="10" t="s">
        <v>20</v>
      </c>
      <c r="I25" s="4">
        <v>8</v>
      </c>
      <c r="J25" s="5">
        <f t="shared" si="11"/>
        <v>65446.006372754498</v>
      </c>
      <c r="K25" s="6">
        <v>0.03</v>
      </c>
      <c r="L25" s="5">
        <f t="shared" si="12"/>
        <v>1963.3801911826349</v>
      </c>
      <c r="M25" s="5">
        <f t="shared" si="9"/>
        <v>67409.386563937136</v>
      </c>
      <c r="N25" s="7">
        <f t="shared" si="10"/>
        <v>46174</v>
      </c>
    </row>
    <row r="26" spans="1:14" x14ac:dyDescent="0.3">
      <c r="G26" s="9" t="s">
        <v>9</v>
      </c>
      <c r="H26" s="11" t="s">
        <v>31</v>
      </c>
      <c r="I26" s="11"/>
      <c r="J26" s="11"/>
      <c r="K26" s="11"/>
      <c r="L26" s="11"/>
      <c r="M26" s="12">
        <f>LARGE(M18:M25,1)</f>
        <v>67409.386563937136</v>
      </c>
      <c r="N26" s="8"/>
    </row>
    <row r="28" spans="1:14" x14ac:dyDescent="0.3">
      <c r="G28" s="63" t="s">
        <v>30</v>
      </c>
      <c r="H28" s="8" t="s">
        <v>16</v>
      </c>
      <c r="I28" s="9" t="s">
        <v>11</v>
      </c>
      <c r="J28" s="9" t="s">
        <v>10</v>
      </c>
      <c r="K28" s="9" t="s">
        <v>12</v>
      </c>
      <c r="L28" s="9" t="s">
        <v>27</v>
      </c>
      <c r="M28" s="9" t="s">
        <v>13</v>
      </c>
      <c r="N28" s="9" t="s">
        <v>14</v>
      </c>
    </row>
    <row r="29" spans="1:14" x14ac:dyDescent="0.3">
      <c r="G29" s="63"/>
      <c r="H29" s="10" t="s">
        <v>24</v>
      </c>
      <c r="I29" s="4">
        <v>1</v>
      </c>
      <c r="J29" s="5">
        <f>B7</f>
        <v>0</v>
      </c>
      <c r="K29" s="6">
        <v>0.03</v>
      </c>
      <c r="L29" s="5">
        <f>IFERROR((J29*K29)/30*15," ")</f>
        <v>0</v>
      </c>
      <c r="M29" s="5">
        <f>IF(N29="","",L29+J29)</f>
        <v>0</v>
      </c>
      <c r="N29" s="7">
        <v>45899</v>
      </c>
    </row>
    <row r="30" spans="1:14" x14ac:dyDescent="0.3">
      <c r="G30" s="63"/>
      <c r="H30" s="10" t="s">
        <v>25</v>
      </c>
      <c r="I30" s="4">
        <v>2</v>
      </c>
      <c r="J30" s="5">
        <f>M29</f>
        <v>0</v>
      </c>
      <c r="K30" s="6">
        <v>0.03</v>
      </c>
      <c r="L30" s="5">
        <f>IFERROR((J30*K30),"")</f>
        <v>0</v>
      </c>
      <c r="M30" s="5">
        <f>IF(N30="","",L30+J30)</f>
        <v>0</v>
      </c>
      <c r="N30" s="7">
        <v>45930</v>
      </c>
    </row>
    <row r="31" spans="1:14" x14ac:dyDescent="0.3">
      <c r="G31" s="63"/>
      <c r="H31" s="10" t="s">
        <v>26</v>
      </c>
      <c r="I31" s="4">
        <v>3</v>
      </c>
      <c r="J31" s="5">
        <f>M30</f>
        <v>0</v>
      </c>
      <c r="K31" s="6">
        <v>0.03</v>
      </c>
      <c r="L31" s="5">
        <f>IFERROR((J31*K31),"")</f>
        <v>0</v>
      </c>
      <c r="M31" s="5">
        <f>IF(N31="","",L31+J31)</f>
        <v>0</v>
      </c>
      <c r="N31" s="7">
        <v>45960</v>
      </c>
    </row>
    <row r="32" spans="1:14" x14ac:dyDescent="0.3">
      <c r="G32" s="63"/>
      <c r="H32" s="10" t="s">
        <v>28</v>
      </c>
      <c r="I32" s="4">
        <v>4</v>
      </c>
      <c r="J32" s="5">
        <f>M31</f>
        <v>0</v>
      </c>
      <c r="K32" s="6">
        <v>0.03</v>
      </c>
      <c r="L32" s="5">
        <f>IFERROR((J32*K32),"")</f>
        <v>0</v>
      </c>
      <c r="M32" s="5">
        <f>IF(N32="","",L32+J32)</f>
        <v>0</v>
      </c>
      <c r="N32" s="7">
        <v>45991</v>
      </c>
    </row>
    <row r="33" spans="7:14" x14ac:dyDescent="0.3">
      <c r="G33" s="63"/>
      <c r="H33" s="10" t="s">
        <v>29</v>
      </c>
      <c r="I33" s="4">
        <v>5</v>
      </c>
      <c r="J33" s="5">
        <f>M30</f>
        <v>0</v>
      </c>
      <c r="K33" s="6">
        <v>0.03</v>
      </c>
      <c r="L33" s="5">
        <f>IFERROR((J33*K33),"")</f>
        <v>0</v>
      </c>
      <c r="M33" s="5">
        <f>IF(N33="","",L33+J33)</f>
        <v>0</v>
      </c>
      <c r="N33" s="7">
        <v>46021</v>
      </c>
    </row>
    <row r="34" spans="7:14" x14ac:dyDescent="0.3">
      <c r="G34" s="11">
        <f>'EMPRÉSTIMO INSTITUTO'!A18</f>
        <v>0</v>
      </c>
      <c r="H34" s="11" t="s">
        <v>31</v>
      </c>
      <c r="I34" s="11"/>
      <c r="J34" s="11"/>
      <c r="K34" s="11"/>
      <c r="L34" s="11"/>
      <c r="M34" s="12">
        <f>LARGE(M33:M33,1)</f>
        <v>0</v>
      </c>
      <c r="N34" s="8"/>
    </row>
    <row r="37" spans="7:14" x14ac:dyDescent="0.3">
      <c r="G37" s="63" t="s">
        <v>30</v>
      </c>
      <c r="H37" s="8" t="s">
        <v>16</v>
      </c>
      <c r="I37" s="9" t="s">
        <v>11</v>
      </c>
      <c r="J37" s="9" t="s">
        <v>10</v>
      </c>
      <c r="K37" s="9" t="s">
        <v>12</v>
      </c>
      <c r="L37" s="9" t="s">
        <v>27</v>
      </c>
      <c r="M37" s="9" t="s">
        <v>13</v>
      </c>
      <c r="N37" s="9" t="s">
        <v>14</v>
      </c>
    </row>
    <row r="38" spans="7:14" x14ac:dyDescent="0.3">
      <c r="G38" s="63"/>
      <c r="H38" s="10" t="s">
        <v>24</v>
      </c>
      <c r="I38" s="4">
        <v>1</v>
      </c>
      <c r="J38" s="5">
        <f>B8</f>
        <v>0</v>
      </c>
      <c r="K38" s="6">
        <v>0.03</v>
      </c>
      <c r="L38" s="5">
        <f>IFERROR((J38*K38)/30*15," ")</f>
        <v>0</v>
      </c>
      <c r="M38" s="5">
        <f>IF(N38="","",L38+J38)</f>
        <v>0</v>
      </c>
      <c r="N38" s="7">
        <v>45960</v>
      </c>
    </row>
    <row r="39" spans="7:14" x14ac:dyDescent="0.3">
      <c r="G39" s="63"/>
      <c r="H39" s="10" t="s">
        <v>25</v>
      </c>
      <c r="I39" s="4">
        <v>2</v>
      </c>
      <c r="J39" s="5">
        <f>M38</f>
        <v>0</v>
      </c>
      <c r="K39" s="6">
        <v>0.03</v>
      </c>
      <c r="L39" s="5">
        <f>IFERROR((J39*K39),"")</f>
        <v>0</v>
      </c>
      <c r="M39" s="5">
        <f>IF(N39="","",L39+J39)</f>
        <v>0</v>
      </c>
      <c r="N39" s="7">
        <v>45930</v>
      </c>
    </row>
    <row r="40" spans="7:14" x14ac:dyDescent="0.3">
      <c r="G40" s="63"/>
      <c r="H40" s="10" t="s">
        <v>26</v>
      </c>
      <c r="I40" s="4">
        <v>3</v>
      </c>
      <c r="J40" s="5">
        <f>M39</f>
        <v>0</v>
      </c>
      <c r="K40" s="6">
        <v>0.03</v>
      </c>
      <c r="L40" s="5">
        <f>IFERROR((J40*K40),"")</f>
        <v>0</v>
      </c>
      <c r="M40" s="5">
        <f>IF(N40="","",L40+J40)</f>
        <v>0</v>
      </c>
      <c r="N40" s="7">
        <v>45960</v>
      </c>
    </row>
    <row r="41" spans="7:14" x14ac:dyDescent="0.3">
      <c r="G41" s="63"/>
      <c r="H41" s="10" t="s">
        <v>28</v>
      </c>
      <c r="I41" s="4">
        <v>4</v>
      </c>
      <c r="J41" s="5">
        <f>M40</f>
        <v>0</v>
      </c>
      <c r="K41" s="6">
        <v>0.03</v>
      </c>
      <c r="L41" s="5">
        <f>IFERROR((J41*K41),"")</f>
        <v>0</v>
      </c>
      <c r="M41" s="5">
        <f>IF(N41="","",L41+J41)</f>
        <v>0</v>
      </c>
      <c r="N41" s="7">
        <v>45991</v>
      </c>
    </row>
    <row r="42" spans="7:14" x14ac:dyDescent="0.3">
      <c r="G42" s="11">
        <f>A16</f>
        <v>0</v>
      </c>
      <c r="H42" s="11" t="s">
        <v>31</v>
      </c>
      <c r="I42" s="11"/>
      <c r="J42" s="11"/>
      <c r="K42" s="11"/>
      <c r="L42" s="11"/>
      <c r="M42" s="12">
        <f>M41</f>
        <v>0</v>
      </c>
      <c r="N42" s="8"/>
    </row>
  </sheetData>
  <mergeCells count="5">
    <mergeCell ref="G2:G6"/>
    <mergeCell ref="G10:G14"/>
    <mergeCell ref="G17:G25"/>
    <mergeCell ref="G28:G33"/>
    <mergeCell ref="G37:G41"/>
  </mergeCells>
  <hyperlinks>
    <hyperlink ref="A1" location="'RESUMO GERAL'!A1" display="RACIONAL EMPRESTIMOS E INVESTIMENTO" xr:uid="{C127DCD8-1853-478E-B491-11152EE89164}"/>
  </hyperlink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821C2-32DE-42AF-B57F-580AD748AE97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RESUMO GERAL</vt:lpstr>
      <vt:lpstr>EMPRÉSTIMO PESSOAL JJEFFERSON</vt:lpstr>
      <vt:lpstr>EMPRÉSTIMO PESSOAL PETRICK</vt:lpstr>
      <vt:lpstr>EMPRÉSTIMO PESSOAL PEIXOTO</vt:lpstr>
      <vt:lpstr>EMPRÉSTIMO BROBOND</vt:lpstr>
      <vt:lpstr>EMPRÉSTIMO EXPOFEIRASCO</vt:lpstr>
      <vt:lpstr>EMPRÉSTIMO INSTITUTO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Sousa</dc:creator>
  <cp:lastModifiedBy>Jefferson Sousa</cp:lastModifiedBy>
  <dcterms:created xsi:type="dcterms:W3CDTF">2024-11-26T19:31:37Z</dcterms:created>
  <dcterms:modified xsi:type="dcterms:W3CDTF">2026-05-28T20:05:55Z</dcterms:modified>
</cp:coreProperties>
</file>